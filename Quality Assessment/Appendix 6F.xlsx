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2421127\Documents\Thesis\Chapter 6\"/>
    </mc:Choice>
  </mc:AlternateContent>
  <xr:revisionPtr revIDLastSave="0" documentId="8_{6121B927-E6BA-474F-9F53-E7CF1E2388E2}" xr6:coauthVersionLast="47" xr6:coauthVersionMax="47" xr10:uidLastSave="{00000000-0000-0000-0000-000000000000}"/>
  <bookViews>
    <workbookView xWindow="28680" yWindow="-120" windowWidth="29040" windowHeight="15720" xr2:uid="{00000000-000D-0000-FFFF-FFFF00000000}"/>
  </bookViews>
  <sheets>
    <sheet name="Core Items" sheetId="1" r:id="rId1"/>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13" i="1" l="1"/>
  <c r="AB114" i="1"/>
  <c r="AA114" i="1"/>
  <c r="AC114" i="1" s="1"/>
  <c r="W114" i="1"/>
  <c r="Z114" i="1"/>
  <c r="AC94" i="1"/>
  <c r="AC93" i="1"/>
  <c r="AC76" i="1"/>
  <c r="AC75" i="1"/>
  <c r="AC18" i="1"/>
  <c r="AC24" i="1"/>
  <c r="AC28" i="1"/>
  <c r="AC29" i="1"/>
  <c r="AC30" i="1"/>
  <c r="AC31" i="1"/>
  <c r="AC44" i="1"/>
  <c r="AC47" i="1"/>
  <c r="AC54" i="1"/>
  <c r="AC58" i="1"/>
  <c r="AC62" i="1"/>
  <c r="AC63" i="1"/>
  <c r="AC64" i="1"/>
  <c r="AC67" i="1"/>
  <c r="AC81" i="1"/>
  <c r="AC87" i="1"/>
  <c r="AC89" i="1"/>
  <c r="AC100" i="1"/>
  <c r="AC101" i="1"/>
  <c r="AC126" i="1"/>
  <c r="AC132" i="1"/>
  <c r="AC133" i="1"/>
  <c r="AC140" i="1"/>
  <c r="AC144" i="1"/>
  <c r="AC153" i="1"/>
  <c r="AC154" i="1"/>
  <c r="AC156" i="1"/>
  <c r="AC157" i="1"/>
  <c r="AC175" i="1"/>
  <c r="AC179" i="1"/>
  <c r="AC180" i="1"/>
  <c r="AC181" i="1"/>
  <c r="AC182" i="1"/>
  <c r="AC194" i="1"/>
  <c r="AC198" i="1"/>
  <c r="AC200" i="1"/>
  <c r="AC212" i="1"/>
  <c r="AC215" i="1"/>
  <c r="AC216" i="1"/>
  <c r="AC217" i="1"/>
  <c r="AC221" i="1"/>
  <c r="AC222" i="1"/>
  <c r="AC6" i="1"/>
  <c r="Z205" i="1"/>
  <c r="Z204" i="1"/>
  <c r="Z200" i="1"/>
  <c r="Z199" i="1"/>
  <c r="Z198" i="1"/>
  <c r="Z191" i="1"/>
  <c r="Z190" i="1"/>
  <c r="Z189" i="1"/>
  <c r="Z94" i="1"/>
  <c r="Z93" i="1"/>
  <c r="Z10" i="1"/>
  <c r="Z15" i="1"/>
  <c r="Z18" i="1"/>
  <c r="Z24" i="1"/>
  <c r="Z28" i="1"/>
  <c r="Z29" i="1"/>
  <c r="Z30" i="1"/>
  <c r="Z31" i="1"/>
  <c r="Z35" i="1"/>
  <c r="Z39" i="1"/>
  <c r="Z40" i="1"/>
  <c r="Z44" i="1"/>
  <c r="Z45" i="1"/>
  <c r="Z47" i="1"/>
  <c r="Z48" i="1"/>
  <c r="Z54" i="1"/>
  <c r="Z55" i="1"/>
  <c r="Z58" i="1"/>
  <c r="Z62" i="1"/>
  <c r="Z63" i="1"/>
  <c r="Z64" i="1"/>
  <c r="Z67" i="1"/>
  <c r="Z70" i="1"/>
  <c r="Z71" i="1"/>
  <c r="Z75" i="1"/>
  <c r="Z76" i="1"/>
  <c r="Z78" i="1"/>
  <c r="Z79" i="1"/>
  <c r="Z80" i="1"/>
  <c r="Z81" i="1"/>
  <c r="Z84" i="1"/>
  <c r="Z87" i="1"/>
  <c r="Z88" i="1"/>
  <c r="Z89" i="1"/>
  <c r="Z92" i="1"/>
  <c r="Z96" i="1"/>
  <c r="Z97" i="1"/>
  <c r="Z98" i="1"/>
  <c r="Z99" i="1"/>
  <c r="Z100" i="1"/>
  <c r="Z101" i="1"/>
  <c r="Z102" i="1"/>
  <c r="Z103" i="1"/>
  <c r="Z110" i="1"/>
  <c r="Z111" i="1"/>
  <c r="Z112" i="1"/>
  <c r="Z113" i="1"/>
  <c r="Z121" i="1"/>
  <c r="Z129" i="1"/>
  <c r="Z132" i="1"/>
  <c r="Z133" i="1"/>
  <c r="Z134" i="1"/>
  <c r="Z135" i="1"/>
  <c r="Z136" i="1"/>
  <c r="Z140" i="1"/>
  <c r="Z141" i="1"/>
  <c r="Z143" i="1"/>
  <c r="Z144" i="1"/>
  <c r="Z145" i="1"/>
  <c r="Z146" i="1"/>
  <c r="Z150" i="1"/>
  <c r="Z151" i="1"/>
  <c r="Z153" i="1"/>
  <c r="Z154" i="1"/>
  <c r="Z155" i="1"/>
  <c r="Z158" i="1"/>
  <c r="Z159" i="1"/>
  <c r="Z163" i="1"/>
  <c r="Z164" i="1"/>
  <c r="Z185" i="1"/>
  <c r="Z188" i="1"/>
  <c r="Z194" i="1"/>
  <c r="Z197" i="1"/>
  <c r="Z207" i="1"/>
  <c r="Z208" i="1"/>
  <c r="Z209" i="1"/>
  <c r="Z212" i="1"/>
  <c r="Z215" i="1"/>
  <c r="Z216" i="1"/>
  <c r="Z217" i="1"/>
  <c r="Z6" i="1"/>
  <c r="W94" i="1"/>
  <c r="W93" i="1"/>
  <c r="W189" i="1"/>
  <c r="W190" i="1"/>
  <c r="W191" i="1"/>
  <c r="W198" i="1"/>
  <c r="W199" i="1"/>
  <c r="W200" i="1"/>
  <c r="W205" i="1"/>
  <c r="W204" i="1"/>
  <c r="W207" i="1"/>
  <c r="W208" i="1"/>
  <c r="W209" i="1"/>
  <c r="W212" i="1"/>
  <c r="W215" i="1"/>
  <c r="W216" i="1"/>
  <c r="W24" i="1"/>
  <c r="W18" i="1"/>
  <c r="W15" i="1"/>
  <c r="W10" i="1"/>
  <c r="W217" i="1"/>
  <c r="W28" i="1"/>
  <c r="W29" i="1"/>
  <c r="W30" i="1"/>
  <c r="W31" i="1"/>
  <c r="W35" i="1"/>
  <c r="W39" i="1"/>
  <c r="W40" i="1"/>
  <c r="W44" i="1"/>
  <c r="W45" i="1"/>
  <c r="W47" i="1"/>
  <c r="W48" i="1"/>
  <c r="W54" i="1"/>
  <c r="W55" i="1"/>
  <c r="W58" i="1"/>
  <c r="W62" i="1"/>
  <c r="W63" i="1"/>
  <c r="W64" i="1"/>
  <c r="W67" i="1"/>
  <c r="W70" i="1"/>
  <c r="W71" i="1"/>
  <c r="W75" i="1"/>
  <c r="W76" i="1"/>
  <c r="W78" i="1"/>
  <c r="W79" i="1"/>
  <c r="W80" i="1"/>
  <c r="W81" i="1"/>
  <c r="W84" i="1"/>
  <c r="W87" i="1"/>
  <c r="W88" i="1"/>
  <c r="W89" i="1"/>
  <c r="W92" i="1"/>
  <c r="W96" i="1"/>
  <c r="W97" i="1"/>
  <c r="W98" i="1"/>
  <c r="W99" i="1"/>
  <c r="W100" i="1"/>
  <c r="W101" i="1"/>
  <c r="W102" i="1"/>
  <c r="W103" i="1"/>
  <c r="W106" i="1"/>
  <c r="W110" i="1"/>
  <c r="W111" i="1"/>
  <c r="W112" i="1"/>
  <c r="W113" i="1"/>
  <c r="W121" i="1"/>
  <c r="W122" i="1"/>
  <c r="W129" i="1"/>
  <c r="W132" i="1"/>
  <c r="W133" i="1"/>
  <c r="W134" i="1"/>
  <c r="W135" i="1"/>
  <c r="W136" i="1"/>
  <c r="W140" i="1"/>
  <c r="W141" i="1"/>
  <c r="W143" i="1"/>
  <c r="W144" i="1"/>
  <c r="W145" i="1"/>
  <c r="W146" i="1"/>
  <c r="W150" i="1"/>
  <c r="W151" i="1"/>
  <c r="W153" i="1"/>
  <c r="W154" i="1"/>
  <c r="W155" i="1"/>
  <c r="W158" i="1"/>
  <c r="W159" i="1"/>
  <c r="W163" i="1"/>
  <c r="W164" i="1"/>
  <c r="W185" i="1"/>
  <c r="W188" i="1"/>
  <c r="W194" i="1"/>
  <c r="W6" i="1"/>
  <c r="AB209" i="1"/>
  <c r="AA209" i="1"/>
  <c r="AC209" i="1" s="1"/>
  <c r="AB207" i="1"/>
  <c r="AB208" i="1"/>
  <c r="AA208" i="1"/>
  <c r="AC208" i="1" s="1"/>
  <c r="AB81" i="1"/>
  <c r="AA81" i="1"/>
  <c r="AB113" i="1"/>
  <c r="AA113" i="1"/>
  <c r="AB112" i="1"/>
  <c r="AC112" i="1" s="1"/>
  <c r="AB111" i="1"/>
  <c r="AA111" i="1"/>
  <c r="AC111" i="1" s="1"/>
  <c r="AB110" i="1"/>
  <c r="AC110" i="1" s="1"/>
  <c r="AA103" i="1"/>
  <c r="AC103" i="1" s="1"/>
  <c r="AB103" i="1"/>
  <c r="AA98" i="1"/>
  <c r="AB98" i="1"/>
  <c r="AC98" i="1" s="1"/>
  <c r="AB97" i="1"/>
  <c r="AC97" i="1" s="1"/>
  <c r="AB102" i="1"/>
  <c r="AA102" i="1"/>
  <c r="AC102" i="1" s="1"/>
  <c r="AB101" i="1"/>
  <c r="AA101" i="1"/>
  <c r="AB100" i="1"/>
  <c r="AA100" i="1"/>
  <c r="AB99" i="1"/>
  <c r="AA99" i="1"/>
  <c r="AC99" i="1" s="1"/>
  <c r="AA84" i="1"/>
  <c r="AC84" i="1" s="1"/>
  <c r="AA88" i="1"/>
  <c r="AC88" i="1" s="1"/>
  <c r="AB88" i="1"/>
  <c r="AA87" i="1"/>
  <c r="AA89" i="1"/>
  <c r="AB79" i="1"/>
  <c r="AA79" i="1"/>
  <c r="AC79" i="1" s="1"/>
  <c r="AA80" i="1"/>
  <c r="AC80" i="1" s="1"/>
  <c r="AA70" i="1"/>
  <c r="AC70" i="1" s="1"/>
  <c r="AB70" i="1"/>
  <c r="AB71" i="1"/>
  <c r="AA71" i="1"/>
  <c r="AC71" i="1" s="1"/>
  <c r="AA67" i="1"/>
  <c r="AB67" i="1"/>
  <c r="AA64" i="1"/>
  <c r="AA55" i="1"/>
  <c r="AC55" i="1" s="1"/>
  <c r="AA48" i="1"/>
  <c r="AC48" i="1" s="1"/>
  <c r="AA45" i="1"/>
  <c r="AC45" i="1" s="1"/>
  <c r="AA44" i="1"/>
  <c r="AB12" i="1"/>
  <c r="AC12" i="1" s="1"/>
  <c r="AB11" i="1"/>
  <c r="AC11" i="1" s="1"/>
  <c r="AB10" i="1"/>
  <c r="AA216" i="1"/>
  <c r="AA215" i="1"/>
  <c r="AA207" i="1"/>
  <c r="AC207" i="1" s="1"/>
  <c r="AA205" i="1"/>
  <c r="AC205" i="1" s="1"/>
  <c r="AA204" i="1"/>
  <c r="AC204" i="1" s="1"/>
  <c r="AB203" i="1"/>
  <c r="AA200" i="1"/>
  <c r="AA199" i="1"/>
  <c r="AC199" i="1" s="1"/>
  <c r="AA198" i="1"/>
  <c r="AA191" i="1"/>
  <c r="AC191" i="1" s="1"/>
  <c r="AA190" i="1"/>
  <c r="AC190" i="1" s="1"/>
  <c r="AA189" i="1"/>
  <c r="AC189" i="1" s="1"/>
  <c r="AA194" i="1"/>
  <c r="AA185" i="1"/>
  <c r="AC185" i="1" s="1"/>
  <c r="AB172" i="1"/>
  <c r="AB168" i="1"/>
  <c r="AB167" i="1"/>
  <c r="AB166" i="1"/>
  <c r="AB163" i="1"/>
  <c r="AA163" i="1"/>
  <c r="AC163" i="1" s="1"/>
  <c r="AB164" i="1"/>
  <c r="AC164" i="1" s="1"/>
  <c r="AA164" i="1"/>
  <c r="AA159" i="1"/>
  <c r="AC159" i="1" s="1"/>
  <c r="AB159" i="1"/>
  <c r="AA158" i="1"/>
  <c r="AC158" i="1" s="1"/>
  <c r="AB158" i="1"/>
  <c r="AB155" i="1"/>
  <c r="AA155" i="1"/>
  <c r="AC155" i="1" s="1"/>
  <c r="AA154" i="1"/>
  <c r="AB154" i="1"/>
  <c r="AB153" i="1"/>
  <c r="AA153" i="1"/>
  <c r="AB151" i="1"/>
  <c r="AA151" i="1"/>
  <c r="AC151" i="1" s="1"/>
  <c r="AA150" i="1"/>
  <c r="AC150" i="1" s="1"/>
  <c r="AB150" i="1"/>
  <c r="AA146" i="1"/>
  <c r="AC146" i="1" s="1"/>
  <c r="AB146" i="1"/>
  <c r="AA145" i="1"/>
  <c r="AB145" i="1"/>
  <c r="AC145" i="1" s="1"/>
  <c r="AA144" i="1"/>
  <c r="AB143" i="1"/>
  <c r="AA143" i="1"/>
  <c r="AC143" i="1" s="1"/>
  <c r="AA141" i="1"/>
  <c r="AC141" i="1" s="1"/>
  <c r="AB141" i="1"/>
  <c r="AA140" i="1"/>
  <c r="AB140" i="1"/>
  <c r="AA136" i="1"/>
  <c r="AC136" i="1" s="1"/>
  <c r="AB136" i="1"/>
  <c r="AA135" i="1"/>
  <c r="AC135" i="1" s="1"/>
  <c r="AB135" i="1"/>
  <c r="AA134" i="1"/>
  <c r="AC134" i="1" s="1"/>
  <c r="AB134" i="1"/>
  <c r="AA133" i="1"/>
  <c r="AB133" i="1"/>
  <c r="AA132" i="1"/>
  <c r="AB132" i="1"/>
  <c r="AA129" i="1"/>
  <c r="AB129" i="1"/>
  <c r="AC129" i="1" s="1"/>
  <c r="Y122" i="1"/>
  <c r="Z122" i="1" s="1"/>
  <c r="V122" i="1"/>
  <c r="AB126" i="1"/>
  <c r="V121" i="1"/>
  <c r="Y121" i="1"/>
  <c r="AA125" i="1"/>
  <c r="Y125" i="1"/>
  <c r="Z125" i="1" s="1"/>
  <c r="V125" i="1"/>
  <c r="W125" i="1" s="1"/>
  <c r="AA124" i="1"/>
  <c r="Y124" i="1"/>
  <c r="Z124" i="1" s="1"/>
  <c r="V124" i="1"/>
  <c r="W124" i="1" s="1"/>
  <c r="AA123" i="1"/>
  <c r="Y123" i="1"/>
  <c r="Z123" i="1" s="1"/>
  <c r="V123" i="1"/>
  <c r="W123" i="1" s="1"/>
  <c r="AA117" i="1"/>
  <c r="Y117" i="1"/>
  <c r="Z117" i="1" s="1"/>
  <c r="V117" i="1"/>
  <c r="W117" i="1" s="1"/>
  <c r="AB106" i="1"/>
  <c r="AC106" i="1" s="1"/>
  <c r="AA94" i="1"/>
  <c r="AB96" i="1"/>
  <c r="AC96" i="1" s="1"/>
  <c r="AB92" i="1"/>
  <c r="AA93" i="1"/>
  <c r="AB87" i="1"/>
  <c r="AB84" i="1"/>
  <c r="AA78" i="1"/>
  <c r="AC78" i="1" s="1"/>
  <c r="AA76" i="1"/>
  <c r="AA75" i="1"/>
  <c r="AA58" i="1"/>
  <c r="AA62" i="1"/>
  <c r="AA63" i="1"/>
  <c r="AA47" i="1"/>
  <c r="AA39" i="1"/>
  <c r="AC39" i="1" s="1"/>
  <c r="AA40" i="1"/>
  <c r="AC40" i="1" s="1"/>
  <c r="AB35" i="1"/>
  <c r="AC35" i="1" s="1"/>
  <c r="AB18" i="1"/>
  <c r="AA18" i="1"/>
  <c r="AA15" i="1"/>
  <c r="AC15" i="1" s="1"/>
  <c r="AB15" i="1"/>
  <c r="AA10" i="1"/>
  <c r="AC10" i="1" s="1"/>
  <c r="AB125" i="1" l="1"/>
  <c r="AC125" i="1" s="1"/>
  <c r="AB124" i="1"/>
  <c r="AC124" i="1" s="1"/>
  <c r="AB123" i="1"/>
  <c r="AC123" i="1" s="1"/>
  <c r="AB121" i="1"/>
  <c r="AC121" i="1" s="1"/>
  <c r="AB117" i="1"/>
  <c r="AC117" i="1" s="1"/>
  <c r="AB122" i="1"/>
  <c r="AC122" i="1" s="1"/>
</calcChain>
</file>

<file path=xl/sharedStrings.xml><?xml version="1.0" encoding="utf-8"?>
<sst xmlns="http://schemas.openxmlformats.org/spreadsheetml/2006/main" count="1212" uniqueCount="220">
  <si>
    <t>Study</t>
    <phoneticPr fontId="1" type="noConversion"/>
  </si>
  <si>
    <t>Item 1: Random sequence generation</t>
    <phoneticPr fontId="1" type="noConversion"/>
  </si>
  <si>
    <t>Item 2: Allocation concealment</t>
    <phoneticPr fontId="1" type="noConversion"/>
  </si>
  <si>
    <t>Item 3: Blinding of participants</t>
    <phoneticPr fontId="1" type="noConversion"/>
  </si>
  <si>
    <t>Item 4: Blinding of healthcare providers</t>
    <phoneticPr fontId="1" type="noConversion"/>
  </si>
  <si>
    <t>Item 5: Blinding of outcome assessors</t>
    <phoneticPr fontId="1" type="noConversion"/>
  </si>
  <si>
    <t xml:space="preserve">
Support for judgement</t>
    <phoneticPr fontId="1" type="noConversion"/>
  </si>
  <si>
    <t>Support for judgement</t>
    <phoneticPr fontId="1" type="noConversion"/>
  </si>
  <si>
    <t>Intervention group</t>
    <phoneticPr fontId="1" type="noConversion"/>
  </si>
  <si>
    <t>Control group</t>
    <phoneticPr fontId="1" type="noConversion"/>
  </si>
  <si>
    <t>Overall</t>
    <phoneticPr fontId="1" type="noConversion"/>
  </si>
  <si>
    <t>N not analyzed</t>
    <phoneticPr fontId="1" type="noConversion"/>
  </si>
  <si>
    <t>N total</t>
    <phoneticPr fontId="1" type="noConversion"/>
  </si>
  <si>
    <t>% not analyzed</t>
    <phoneticPr fontId="1" type="noConversion"/>
  </si>
  <si>
    <t>Step 1: Was the allocation sequence adequately generated</t>
    <phoneticPr fontId="1" type="noConversion"/>
  </si>
  <si>
    <t>Step 1: Was the allocation adequately concealed</t>
    <phoneticPr fontId="1" type="noConversion"/>
  </si>
  <si>
    <t>Step 1: Extract the number of participants who were not included in analysis in each group</t>
    <phoneticPr fontId="1" type="noConversion"/>
  </si>
  <si>
    <t>Step 2: Judge risk of bias related to sequence generation</t>
    <phoneticPr fontId="1" type="noConversion"/>
  </si>
  <si>
    <t>Step 1: Were participants blinded</t>
    <phoneticPr fontId="1" type="noConversion"/>
  </si>
  <si>
    <t>Step 2: Judge risk of bias related to allocation concealment</t>
    <phoneticPr fontId="1" type="noConversion"/>
  </si>
  <si>
    <t>Step 2: Judge risk of bias related to blinding of participants</t>
    <phoneticPr fontId="1" type="noConversion"/>
  </si>
  <si>
    <t>Step 1: Were healthcare providers blinded</t>
    <phoneticPr fontId="1" type="noConversion"/>
  </si>
  <si>
    <t>Step 2: Judge risk of bias related to blinding of healthcare providers</t>
    <phoneticPr fontId="1" type="noConversion"/>
  </si>
  <si>
    <t>Step 1: Were outcome assessors blinded</t>
    <phoneticPr fontId="1" type="noConversion"/>
  </si>
  <si>
    <t>Step 2: Judge risk of bias related to blinding of outcome assessors</t>
    <phoneticPr fontId="1" type="noConversion"/>
  </si>
  <si>
    <t>Outcome(s)</t>
    <phoneticPr fontId="1" type="noConversion"/>
  </si>
  <si>
    <t>Step 2: Judge risk of bias related to the overall percentage of participants not included in analysis</t>
    <phoneticPr fontId="1" type="noConversion"/>
  </si>
  <si>
    <t>Item 6: Outcome data not included in analysis</t>
    <phoneticPr fontId="1" type="noConversion"/>
  </si>
  <si>
    <t>2018_Sal_Cre</t>
  </si>
  <si>
    <t xml:space="preserve"> ii) MMSE</t>
  </si>
  <si>
    <t xml:space="preserve">Changes from baseline to week 69 in the following measures: </t>
  </si>
  <si>
    <t>iv) levels of p-Tau181 in the CSF</t>
  </si>
  <si>
    <t xml:space="preserve">1) Patient-Relevant Outcomes: </t>
  </si>
  <si>
    <t>2) Biomarker Outcomes:</t>
  </si>
  <si>
    <t>ii) whole brain vMRI</t>
  </si>
  <si>
    <t>iii) levels of Aβ(1–42) in the CSF</t>
  </si>
  <si>
    <t>i) brain amyloid burden as assessed by florbetapir SUVRs using mean cortical and cerebellar gray matter reference regions</t>
  </si>
  <si>
    <t>Definitely Yes</t>
  </si>
  <si>
    <t>Probably Low</t>
  </si>
  <si>
    <t>Randomization and dosing: Randomization was managed by a central IxRS vendor using dynamic hierarchical randomization, and in both parts of the study patients were randomized independently and stratified by apolipoprotein E ε4(APOEε4) genotype (carrier vs noncarrier), MMSE score (&lt; 22 vs ≥ 22), and study site. Site personnel were blinded to randomization details.</t>
  </si>
  <si>
    <t>Definitely Low</t>
  </si>
  <si>
    <t>Probably Yes</t>
  </si>
  <si>
    <t>Drug trial in which participants and healthcare providers were blinded, with no further information on the allocation concealment method</t>
  </si>
  <si>
    <t>In this study, the "site personnel" are the healthcare providers and there is an explicit statement of their blinding</t>
  </si>
  <si>
    <t>The outcome assessors (site personnel) were blinded. This was explicitly stated in the trial report</t>
  </si>
  <si>
    <t>Definitely High</t>
  </si>
  <si>
    <t>2024_Fle_Zag</t>
  </si>
  <si>
    <t>Changes from baseline to week 104 in the following measures:</t>
  </si>
  <si>
    <t xml:space="preserve"> i) ADAS-Cog12</t>
  </si>
  <si>
    <t>i)  ADAS-Cog13</t>
  </si>
  <si>
    <t>i) tau-standardised uptake value ratio (SUVR) via tau PET</t>
  </si>
  <si>
    <t>iii) levels of p-Tau181 in plasma</t>
  </si>
  <si>
    <t>Drug trial in which participants and healthcare providers were blinded, with no further information on the allocation concealment method. Patients and Study Design: PERISCOPE-ALZ was a multicenter (56 academic and private centers in Canada, Japan, and the United States), randomized, double-blind, placebo-controlled phase 2 study of zagotenemab.</t>
  </si>
  <si>
    <t>Patients and Study Design: All study participants, the sponsor study team, and all trial site staff except site pharmacist remained blinded during the conduct of the study. Explicit statement of blinding.</t>
  </si>
  <si>
    <t>In this study, the  "trial site staff" are the healthcare providers and "all trial site staff except for the pharmacist" were explicitly stated as being blinded</t>
  </si>
  <si>
    <t>Two independent, blinded processing pipelines were used to measure composite cortical SUVR values for each scan</t>
  </si>
  <si>
    <t>Measured using the Elecsys® β-Amyloid(1–42) immunoassay under development by Roche Diagnostics</t>
  </si>
  <si>
    <t>Measured using INNOTEST® ELISAs (Fujirebio)</t>
  </si>
  <si>
    <t>Patients, site staff, and sponsors were blinded to the treatment assignment and remained blinded, unless unblinding was recommended by the sponsor’s internal monitoring committee for patient safety management</t>
  </si>
  <si>
    <t>Trial explicitly stated that the outcome assessors or adjudicators (people making the measurement or assessment) were blinded. "All trial site staff… remained blinded"</t>
  </si>
  <si>
    <t>Outcome assessors were definitely blinded</t>
  </si>
  <si>
    <t>SEE GOOGLE DOC: Risk of Bias</t>
  </si>
  <si>
    <t>2010_Rin_Bap</t>
  </si>
  <si>
    <t>i) ADAS-Cog12</t>
  </si>
  <si>
    <t>ii) MMSE</t>
  </si>
  <si>
    <t>i) Amyloid-β load as measured by PET and the radiotracer carbon-11-labelled Pittsburgh compound B (¹¹C-PiB)</t>
  </si>
  <si>
    <t>Abstract Methods: An interactive voice response system (IVRS) vendor generated the treatment assignments, and visit-specific blinded study drug kits were dispensed by the IVRS. The IVRS vendor personnel had no further contact with study site staff, patients, or carers. Masking was achieved with numbered kit allocation.</t>
  </si>
  <si>
    <t>Randomisation and masking: An interactive voice response system (IVRS) vendor generated the treatment assignments, and visit-specific blinded study drug kits were dispensed by the IVRS. The IVRS vendor personnel had no further contact with study site staff, patients, or carers. On the basis of the information provided by the IVRS vendor, a masked pharmacist or dispenser took the study drug kit with the allocated kit number and prepared the infusion.</t>
  </si>
  <si>
    <t>Randomisation and masking: During the study, patients, investigators (both image analysts and clinical assessors), study site personnel, and sponsor staff were masked to treatment.</t>
  </si>
  <si>
    <t>The outcome assessors were the image analysts and clinical assessors. Explicit statement of their blinding</t>
  </si>
  <si>
    <t>Changes from baseline to week 78* (*week 52 for the CSF outcomes) in the following measures:</t>
  </si>
  <si>
    <t>Perecentage of participants not included in analysis is ≥20%</t>
  </si>
  <si>
    <t>2022_Ten_Sem</t>
  </si>
  <si>
    <t>i) ADAS-Cog13</t>
  </si>
  <si>
    <t>Study Design and Treatment: Permuted block randomization was implemented by a central IxRS vendor, with stratification by AD diagnosis (prodromal [mild cognitive impairment] vs mild [dementia]) and APOE status (presence vs absence of ε4 allele).</t>
  </si>
  <si>
    <t>Study Design and Treatment: Participants, investigators, and the sponsor were blinded to treatment allocation.</t>
  </si>
  <si>
    <t xml:space="preserve">The trial report stated that the participants were blinded </t>
  </si>
  <si>
    <t>In this study the "investigators" are the healthcare providers and there is an explicit statement of thir blinding</t>
  </si>
  <si>
    <t>The investigators were responsible for the assessments of "clinical efficacy outcomes". The investigators have an explicit statement of blinding</t>
  </si>
  <si>
    <t>A central MRI vendor (NeuroRx) performed these analyses</t>
  </si>
  <si>
    <t>A central PET vendor (Invicro)</t>
  </si>
  <si>
    <t>Elecsys in vitro diagnostic immunoassays from Roche Diagnostics</t>
  </si>
  <si>
    <t>The report  does not specifically state whether the personnel at Roche Diagnostics or the labs performing these assays were blinded. However, objective laboratory measurements like these are generally considered to involve minimal judgment in their assessment, which inherently reduces the potential for bias from unblinding</t>
  </si>
  <si>
    <t>Objective assessment involving automated or semi-automated computational methods. Inherently involve minimal to no subjectve judgement that could be influenced by knowledge of treatment allocation.</t>
  </si>
  <si>
    <t>2023_Mon_Sem</t>
  </si>
  <si>
    <t>Changes from baseline to week 73*(*week 49 for the CSF outcomes)  in the following measures:</t>
  </si>
  <si>
    <t>i) ADAS-Cog11</t>
  </si>
  <si>
    <t>i) Annualised change on tau PET</t>
  </si>
  <si>
    <t>Randomization and Blinding: Participants were randomly assigned (1:1) through a centralized randomization system to 4,500 mg of semorinemab or placebo IV.</t>
  </si>
  <si>
    <t>Standard Protocol Approvals, Registrations, and Patient Consents: During the double-blind period of the study, participants, investigators, and the sponsor study team were blinded to treatment allocation.</t>
  </si>
  <si>
    <t>In this study, the "healthcare providers" were the investigators and there is an explicit statement of their blinding.</t>
  </si>
  <si>
    <t>Administered by a "cognitive rater" who were part of the blinded investigators</t>
  </si>
  <si>
    <t>central vendor</t>
  </si>
  <si>
    <t>No specifics on who were the outcome assessors for these outcomes but this trial is a "double blinded" trial so it could be assumed that the outcome assessors were blinded</t>
  </si>
  <si>
    <t>Objective laboratory measurements like these are generally considered to involve minimal judgment in their assessment, which inherently reduces the potential for bias from unblinding</t>
  </si>
  <si>
    <t>Change from baseline to week 49 in the following measures (Cohort 1 and 2):</t>
  </si>
  <si>
    <t>Change from baseline to week 61 in the following measures (Cohort 2):</t>
  </si>
  <si>
    <t>2009_Sal_Bap</t>
  </si>
  <si>
    <t>Change from baseline to week 78(PRO) [*w58 CSF and w71 vMRI] in the following measures:</t>
  </si>
  <si>
    <t>iii) whole brain vMRI</t>
  </si>
  <si>
    <t>i) levels of Aβ(1–42) in the CSF</t>
  </si>
  <si>
    <t>ii) levels of p-Tau181 in the CSF</t>
  </si>
  <si>
    <t>Study Design and Treatment: Adaptive stratified randomization was used</t>
  </si>
  <si>
    <t>A trial reported as double blind compared bapineuzumab to placebo for participants with mild to moderate AD, with no further information on the allocation concealment method</t>
  </si>
  <si>
    <t>A trial reported as double blind (participants, investigators and sponsor team) compared semorinemab to placebo for participants with mild to moderate AD, with no further information on the allocation concealment method</t>
  </si>
  <si>
    <t>The trial, with no explicit statement about blinding of participants stated "This phase 2, multicenter, randomized, doubleblind, placebo-controlled, multiple ascending dose study". Study participants were randomly assigned to receive either IV bapineuzumab or placebo, in an 8:7 ratio, in 1 of 4 sequential dose cohorts. Here double-blind is ambiguous as to who was blinded but this is a placebo-controlled drug trial and it highly unlikely that the participants would know the difference between an IV infusion of the drug vs the placebo</t>
  </si>
  <si>
    <t>No explicit statement about blinding of the participants but this is a placebo-controlled drug trial</t>
  </si>
  <si>
    <t>The trial, with no explicit statement about blinding of healthcare providers stated "This phase 2, multicenter, randomized, doubleblind, placebo-controlled, multiple ascending dose study". Study participants were randomly assigned to receive either IV bapineuzumab or placebo, in an 8:7 ratio, in 1 of 4 sequential dose cohorts. Here double-blind is ambiguous as to who was blinded but this is a placebo-controlled drug trial and it highly unlikely that the investigators would know the difference between an IV infusion of the drug vs the placebo</t>
  </si>
  <si>
    <t>No explicit statement about blinding of the healthcare providers but this is a placebo-controlled drug trial</t>
  </si>
  <si>
    <t>The trial, with no explicit statement about blinding of outcome assessors stated "This phase 2, multicenter, randomized, doubleblind, placebo-controlled, multiple ascending dose study". Study participants were randomly assigned to receive either IV bapineuzumab or placebo, in an 8:7 ratio, in 1 of 4 sequential dose cohorts. Here double-blind is ambiguous as to who was blinded but this is a placebo-controlled drug trial and it highly unlikely that the investigators would know who was asssigned the drug vs the placebo from these objective tests</t>
  </si>
  <si>
    <t>No explicit statement but this is a placebo-controlled drug trial</t>
  </si>
  <si>
    <t>Percentage of participants not included in analysis is  &lt;10%</t>
  </si>
  <si>
    <t>2018_Cum_Cre</t>
  </si>
  <si>
    <t>Study design and treatment: Randomization into the 2 parts was independent and sequential...Randomization was managed by a central IxRS vendor using dynamic hierarchical randomization based on 3 factors</t>
  </si>
  <si>
    <t>Trial used a clearly satisfactory allocation concealment method: central allocation</t>
  </si>
  <si>
    <t>The trial had no explicit statement about participant blinding but it was a "phase 2, multicenter, randomized, double-blind, placebocontrolled, parallel-group study was designed to evaluate the safety and efficacy of crenezumab in patients with mild to moderate AD". Here double-blind is ambiguous as to who was blinded but this is a placebo-controlled drug trial and it highly unlikely that the participants would know the difference between an IV infusion of the drug vs the placebo</t>
  </si>
  <si>
    <t>The trial had no explicit statement about healthcare provider blinding but it was a "phase 2, multicenter, randomized, double-blind, placebo controlled, parallel-group study was designed to evaluate the safety and efficacy of crenezumab in patients with mild to moderate AD". Here double-blind is ambiguous as to who was blinded but this is a placebo-controlled drug trial and it highly unlikely that the participants would know the difference between an IV infusion of the drug vs the placebo</t>
  </si>
  <si>
    <t>The trial had no explicit statement about outcome assessors blinding but it was a "phase 2, multicenter, randomized, double-blind, placebo controlled, parallel-group study was designed to evaluate the safety and efficacy of crenezumab in patients with mild to moderate AD". Here double-blind is ambiguous as to who was blinded but this is a placebo-controlled drug trial and it highly unlikely that the participants would know the difference between an IV infusion of the drug vs the placebo</t>
  </si>
  <si>
    <t>Change from baseline to week 73 (and week 69 for CSF biomarkers) in the following measures:</t>
  </si>
  <si>
    <t>2023_Shu_Gos</t>
  </si>
  <si>
    <t>i) whole brain vMRI</t>
  </si>
  <si>
    <t>ii) levels of Aβ(1–42) in the CSF</t>
  </si>
  <si>
    <t>iii) levels of p-Tau181 in the CSF</t>
  </si>
  <si>
    <t>Methods: Randomization was conducted by interactive response technology (IRT); the IRT vendor generated the randomization sequence.</t>
  </si>
  <si>
    <t>Trial explicitly states that participants were blinded</t>
  </si>
  <si>
    <t>Methods: During the double-blind, placebocontrolled period, all participants and the study staff who performed participant assessments were blinded to the treatment assignments.</t>
  </si>
  <si>
    <t>Trial explicitly states that the healthcare providers were blinded</t>
  </si>
  <si>
    <t>The outcome assessors were the "study staff who performed particpant assessments" and their was explicit reporting of their blinding</t>
  </si>
  <si>
    <t>Probably High</t>
  </si>
  <si>
    <t>Percentage of participants not included in analysis is 15% to &lt;20%</t>
  </si>
  <si>
    <t>Change from baseline to week 78 (*w76 for CSF biomarkers) in the following measures:</t>
  </si>
  <si>
    <t>Percentage of participants not included in analysis is ≥20%</t>
  </si>
  <si>
    <t>2021_Swa_Lec</t>
  </si>
  <si>
    <t>i) ADAS-Cog14</t>
  </si>
  <si>
    <t>iii) Brain amyloid by PET Standard Uptake Value ratio (SUVr)</t>
  </si>
  <si>
    <t>Methods: Used response adaptive randomization</t>
  </si>
  <si>
    <t>Methods: To maintain the blind, all subjects received biweekly infusions of either placebo or lecanemab.</t>
  </si>
  <si>
    <t>Participant blinding was explicitly stated</t>
  </si>
  <si>
    <t>The trial had no explicit statement about healthcare provider blinding but it was a "phase 2b, multicenter, double-blind, placebo-controlled Bayesian design clinical trial employing response adaptive randomization across placebo and five lecanemab arms (2.5 mg/kg biweekly, 5 mg/kg monthly, 5 mg/kg biweekly, 10 mg/kg monthly, 10 mg/kg biweekly) to assess safety and efficacy in subjects with early Alzheimer’s disease". Here double-blind is ambiguous as to who was blinded but this is a placebo-controlled drug trial and it highly unlikely that the healthcare providers would know the difference between an IV infusion of the drug vs the placebo</t>
  </si>
  <si>
    <t>No explicit statement about healthcare providers being blinded but this was a placebo-controlled trial</t>
  </si>
  <si>
    <t>The trial had no explicit statement about outcome assessors blinding but it was a "phase 2b, multicenter, double-blind, placebo-controlled Bayesian design clinical trial employing response adaptive randomization across placebo and five lecanemab arms (2.5 mg/kg biweekly, 5 mg/kg monthly, 5 mg/kg biweekly, 10 mg/kg monthly, 10 mg/kg biweekly) to assess safety and efficacy in subjects with early Alzheimer’s disease". Here double-blind is ambiguous as to who was blinded but this is a placebo-controlled drug trial and it highly unlikely that the outcome assessors would know the difference between an IV infusion of the drug vs the placebo</t>
  </si>
  <si>
    <t>No explicit statement about outcome assessors being blinded but this was a placebo-controlled trial</t>
  </si>
  <si>
    <t>Change from baseline to week 72 (week 79 in whole brain vMRI) in the following measures:</t>
  </si>
  <si>
    <t>2023_Bat_Gan</t>
  </si>
  <si>
    <t>Change from baseline to week 116 in the following measures:</t>
  </si>
  <si>
    <t>i) Plasma levels of ptau-181</t>
  </si>
  <si>
    <t>iv) levels of Aβ(1–42) in the CSF</t>
  </si>
  <si>
    <t>v) levels of Aβ(1–40) in the CSF</t>
  </si>
  <si>
    <t>vi) levels of p-Tau181 in the CSF</t>
  </si>
  <si>
    <t>vii) Brain amyloid by PET Standard Uptake Value ratio (SUVr)</t>
  </si>
  <si>
    <t xml:space="preserve">Trial was described as “randomized” without further details regarding the method of generating the allocation sequence. </t>
  </si>
  <si>
    <t>Trial design: After screening, eligible participants entered a double-blind treatment period</t>
  </si>
  <si>
    <t>Trial participants blinding was explicitly mentioned</t>
  </si>
  <si>
    <t>The trial had no explicit statement of the healthcare providers being blinded but the two trials were described as "double-blind"  and "placebo-controlled". Here, it is not explciit to who the double blind could be refering too</t>
  </si>
  <si>
    <t>The trial had no explicit statement of the outcome assessors being blinded but the two trials were described as "double-blind"  and "placebo-controlled". Here, it is not explciit to who the double blind could be refering too</t>
  </si>
  <si>
    <t>No explicit statement about healthcare providers (trial staff and home nurse) being blinded but this was a placebo-controlled trial</t>
  </si>
  <si>
    <t>2022_Bud_Adu</t>
  </si>
  <si>
    <t>Change from baseline to week 78 in the following measures:</t>
  </si>
  <si>
    <t>Clinical study design: Treatment assignments were not shared with the participants, their families, or any member of the blinded study team.</t>
  </si>
  <si>
    <t>Explicit statement of participant blinding</t>
  </si>
  <si>
    <t>Explicit statement of healthcare providers blinding</t>
  </si>
  <si>
    <t>The independent raters are the outcome assessors for these studies. Clinical trial design: The two independent raters were not involved in participant care and management and were blinded to ARIA and other medical information to minimize the potential for functional unblinding.</t>
  </si>
  <si>
    <t>Explicit statement of outcome assessors blinding.</t>
  </si>
  <si>
    <t>2014_Doo_Sol</t>
  </si>
  <si>
    <t>Change from baseline to week 80 in the following measures:</t>
  </si>
  <si>
    <t>ii) Plasma levels of Aβ42</t>
  </si>
  <si>
    <t>ii) levels of Aβ(1–40) in the CSF</t>
  </si>
  <si>
    <t>iii) Plasma levels of Aβ42</t>
  </si>
  <si>
    <t>iv) Plasma levels of Aβ40</t>
  </si>
  <si>
    <t>v) whole brain vMRI</t>
  </si>
  <si>
    <t>vi) Brain amyloid by 18F-florbetapir–PET.</t>
  </si>
  <si>
    <t>No explicit statement about blinding of participants, trial was described as “double blind” and the best judgment is that one of the blinded groups is the participants</t>
  </si>
  <si>
    <t>No explicit statement about blinding of healthcare providers, trial was described as “double blind” and the best judgment is that one of the blinded groups is the healthcare providers</t>
  </si>
  <si>
    <t>No explicit statement about blinding of outcome assessors, trial was described as “double blind” and the best judgment is that one of the blinded groups is the outcome assessors</t>
  </si>
  <si>
    <t>No explicit statement about blinding of the outcome assessors but this is a placebo-controlled drug trial</t>
  </si>
  <si>
    <t>2023_van_Lec</t>
  </si>
  <si>
    <t>Change from baseline to week 79 in the following measures:</t>
  </si>
  <si>
    <t>iii) levels of ptau181 in the CSF</t>
  </si>
  <si>
    <t>iv) Plasma levels of pTau181</t>
  </si>
  <si>
    <t xml:space="preserve">v) Brain amyloid by PET </t>
  </si>
  <si>
    <t>2018_Hon_Sol</t>
  </si>
  <si>
    <t>"Patients were randomly assigned in a double blind fashion"</t>
  </si>
  <si>
    <t>2022_Ost_Cre</t>
  </si>
  <si>
    <t>Change from baseline to week 105 in the following measures:</t>
  </si>
  <si>
    <t>iv) Plasma levels of Aβ42</t>
  </si>
  <si>
    <t>v) Plasma levels of Aβ40</t>
  </si>
  <si>
    <t>vi) whole brain vMRI</t>
  </si>
  <si>
    <t>vii) Brain amyloid by 18F-florbetapir–PET.</t>
  </si>
  <si>
    <t>Change from baseline to week 77 in the following measures:</t>
  </si>
  <si>
    <t>CREAD 2</t>
  </si>
  <si>
    <t>CREAD</t>
  </si>
  <si>
    <t>2017_Ost_Gan</t>
  </si>
  <si>
    <t>Randomization and masking: The algorithm for dynamic patient allocation to treatment was based on minimization with biased coin assignment.</t>
  </si>
  <si>
    <t>Randomization and masking: The study was conducted in a double-blind manner.</t>
  </si>
  <si>
    <t>Randomization and masking: The study was conducted in a double-blind manner. A potentially unblinded person was involved in the preparation of study medication but was not involved with patient care.</t>
  </si>
  <si>
    <t>ii) levels of ptau181 in the CSF</t>
  </si>
  <si>
    <t>iv) amyloid PET</t>
  </si>
  <si>
    <t>Change from baseline to week 104 (week 100 amyloid PET) in the following measures:</t>
  </si>
  <si>
    <t>2014_Sal_Bap</t>
  </si>
  <si>
    <t>i) PIB-PET</t>
  </si>
  <si>
    <t>Change from baseline to week 78 (PROs)/week 71 (biomarkers) in the following measures:</t>
  </si>
  <si>
    <t>Study 302</t>
  </si>
  <si>
    <t>Study 301</t>
  </si>
  <si>
    <t>2023_Sim_Don</t>
  </si>
  <si>
    <t>Change from baseline to week 76 in the following measures:</t>
  </si>
  <si>
    <t>i) amyloid PET</t>
  </si>
  <si>
    <t>Randomization and Intervention: Eligible participants were randomly assigned in a 1:1 ratio (Figure 1) by a computer-generated sequence using interactive web response systems, with stratification by baseline tau categorization and enrolling sites; the randomization block size was 4.</t>
  </si>
  <si>
    <t>Trial used a clearly satisfactory allocation concealment method</t>
  </si>
  <si>
    <t>2016_Van_Bap</t>
  </si>
  <si>
    <t>Change from baseline to week 78 (PFO) and 71 (Bs) in the following measures:</t>
  </si>
  <si>
    <t>Study design: Allocation of patients to treatment groups using stratified block randomization proceeded through the entering of subject information by the study coordinator or delegate and the dispenser (unblinded pharmacist) into an interactive voice/web response system. The dispenser was then provided with a subject randomization number and treatment assignment, and a confirmatory facsimile was sent to the dispenser.</t>
  </si>
  <si>
    <t>Study 3001</t>
  </si>
  <si>
    <t>Study 3000</t>
  </si>
  <si>
    <t xml:space="preserve">Percentage of participants not included in analysis is 10% to &lt; 15% </t>
  </si>
  <si>
    <t>ii) tau PET</t>
  </si>
  <si>
    <t>viii) tau PET</t>
  </si>
  <si>
    <t>i)tau PET</t>
  </si>
  <si>
    <t xml:space="preserve">ii) AB PET </t>
  </si>
  <si>
    <t>iv) tau PET</t>
  </si>
  <si>
    <t>vii)Plasma levels of ptau181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</si>
</sst>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9"/>
      <name val="Calibri"/>
      <family val="3"/>
      <charset val="134"/>
      <scheme val="minor"/>
    </font>
    <font>
      <b/>
      <sz val="11"/>
      <color theme="1"/>
      <name val="Calibri"/>
      <family val="2"/>
    </font>
    <font>
      <sz val="11"/>
      <color theme="1"/>
      <name val="Calibri"/>
      <family val="2"/>
    </font>
    <font>
      <sz val="10"/>
      <color theme="1"/>
      <name val="Arial"/>
      <family val="2"/>
    </font>
  </fonts>
  <fills count="5">
    <fill>
      <patternFill patternType="none"/>
    </fill>
    <fill>
      <patternFill patternType="gray125"/>
    </fill>
    <fill>
      <patternFill patternType="solid">
        <fgColor theme="2" tint="-9.9978637043366805E-2"/>
        <bgColor indexed="64"/>
      </patternFill>
    </fill>
    <fill>
      <patternFill patternType="solid">
        <fgColor theme="4" tint="0.59999389629810485"/>
        <bgColor indexed="64"/>
      </patternFill>
    </fill>
    <fill>
      <patternFill patternType="solid">
        <fgColor theme="4" tint="0.79998168889431442"/>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3">
    <xf numFmtId="0" fontId="0" fillId="0" borderId="0" xfId="0"/>
    <xf numFmtId="0" fontId="3" fillId="0" borderId="0" xfId="0" applyFont="1" applyAlignment="1">
      <alignment horizontal="left"/>
    </xf>
    <xf numFmtId="0" fontId="3" fillId="4" borderId="2" xfId="0" applyFont="1" applyFill="1" applyBorder="1" applyAlignment="1">
      <alignment horizontal="left" wrapText="1"/>
    </xf>
    <xf numFmtId="0" fontId="4" fillId="0" borderId="0" xfId="0" applyFont="1"/>
    <xf numFmtId="0" fontId="2" fillId="4" borderId="2" xfId="0" applyFont="1" applyFill="1" applyBorder="1" applyAlignment="1">
      <alignment horizontal="left" wrapText="1"/>
    </xf>
    <xf numFmtId="0" fontId="3" fillId="4" borderId="1" xfId="0" applyFont="1" applyFill="1" applyBorder="1" applyAlignment="1">
      <alignment horizontal="left" wrapText="1"/>
    </xf>
    <xf numFmtId="0" fontId="3" fillId="4" borderId="6" xfId="0" applyFont="1" applyFill="1" applyBorder="1" applyAlignment="1">
      <alignment horizontal="left" wrapText="1"/>
    </xf>
    <xf numFmtId="0" fontId="3" fillId="4" borderId="7" xfId="0" applyFont="1" applyFill="1" applyBorder="1" applyAlignment="1">
      <alignment horizontal="left" wrapText="1"/>
    </xf>
    <xf numFmtId="0" fontId="2" fillId="3" borderId="2" xfId="0" applyFont="1" applyFill="1" applyBorder="1" applyAlignment="1">
      <alignment horizontal="left" wrapText="1"/>
    </xf>
    <xf numFmtId="0" fontId="2" fillId="4" borderId="3" xfId="0" applyFont="1" applyFill="1" applyBorder="1" applyAlignment="1">
      <alignment horizontal="left" wrapText="1"/>
    </xf>
    <xf numFmtId="0" fontId="2" fillId="4" borderId="4" xfId="0" applyFont="1" applyFill="1" applyBorder="1" applyAlignment="1">
      <alignment horizontal="left" wrapText="1"/>
    </xf>
    <xf numFmtId="0" fontId="2" fillId="4" borderId="5" xfId="0" applyFont="1" applyFill="1" applyBorder="1" applyAlignment="1">
      <alignment horizontal="left" wrapText="1"/>
    </xf>
    <xf numFmtId="0" fontId="3" fillId="3" borderId="2" xfId="0" applyFont="1" applyFill="1" applyBorder="1" applyAlignment="1">
      <alignment horizontal="left" wrapText="1"/>
    </xf>
    <xf numFmtId="0" fontId="3" fillId="4" borderId="2" xfId="0" applyFont="1" applyFill="1" applyBorder="1" applyAlignment="1">
      <alignment horizontal="left" wrapText="1"/>
    </xf>
    <xf numFmtId="0" fontId="2" fillId="4" borderId="1" xfId="0" applyFont="1" applyFill="1" applyBorder="1" applyAlignment="1">
      <alignment horizontal="left" wrapText="1"/>
    </xf>
    <xf numFmtId="0" fontId="2" fillId="4" borderId="6" xfId="0" applyFont="1" applyFill="1" applyBorder="1" applyAlignment="1">
      <alignment horizontal="left" wrapText="1"/>
    </xf>
    <xf numFmtId="0" fontId="2" fillId="4" borderId="7" xfId="0" applyFont="1" applyFill="1" applyBorder="1" applyAlignment="1">
      <alignment horizontal="left" wrapText="1"/>
    </xf>
    <xf numFmtId="0" fontId="2" fillId="3" borderId="1" xfId="0" applyFont="1" applyFill="1" applyBorder="1" applyAlignment="1">
      <alignment horizontal="left" wrapText="1"/>
    </xf>
    <xf numFmtId="0" fontId="2" fillId="3" borderId="6" xfId="0" applyFont="1" applyFill="1" applyBorder="1" applyAlignment="1">
      <alignment horizontal="left" wrapText="1"/>
    </xf>
    <xf numFmtId="0" fontId="2" fillId="3" borderId="7" xfId="0" applyFont="1" applyFill="1" applyBorder="1" applyAlignment="1">
      <alignment horizontal="left" wrapText="1"/>
    </xf>
    <xf numFmtId="0" fontId="2" fillId="2" borderId="1" xfId="0" applyFont="1" applyFill="1" applyBorder="1" applyAlignment="1">
      <alignment horizontal="left" wrapText="1"/>
    </xf>
    <xf numFmtId="0" fontId="2" fillId="2" borderId="6" xfId="0" applyFont="1" applyFill="1" applyBorder="1" applyAlignment="1">
      <alignment horizontal="left" wrapText="1"/>
    </xf>
    <xf numFmtId="0" fontId="2" fillId="2" borderId="7" xfId="0" applyFont="1" applyFill="1" applyBorder="1" applyAlignment="1">
      <alignment horizontal="left" wrapText="1"/>
    </xf>
  </cellXfs>
  <cellStyles count="1">
    <cellStyle name="Normal" xfId="0" builtinId="0"/>
  </cellStyles>
  <dxfs count="1096">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theme="0" tint="-0.14996795556505021"/>
        </patternFill>
      </fill>
    </dxf>
    <dxf>
      <fill>
        <patternFill>
          <bgColor rgb="FF00B050"/>
        </patternFill>
      </fill>
    </dxf>
    <dxf>
      <fill>
        <patternFill>
          <bgColor rgb="FF92D050"/>
        </patternFill>
      </fill>
    </dxf>
    <dxf>
      <fill>
        <patternFill>
          <bgColor theme="5"/>
        </patternFill>
      </fill>
    </dxf>
    <dxf>
      <fill>
        <patternFill>
          <bgColor rgb="FFFF0000"/>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23"/>
  <sheetViews>
    <sheetView tabSelected="1" zoomScaleNormal="100" workbookViewId="0">
      <pane xSplit="2" ySplit="4" topLeftCell="T181" activePane="bottomRight" state="frozen"/>
      <selection pane="topRight" activeCell="C1" sqref="C1"/>
      <selection pane="bottomLeft" activeCell="A5" sqref="A5"/>
      <selection pane="bottomRight" activeCell="U217" sqref="U217:AE217"/>
    </sheetView>
  </sheetViews>
  <sheetFormatPr defaultColWidth="8.90625" defaultRowHeight="14.5"/>
  <cols>
    <col min="1" max="1" width="20.81640625" style="1" customWidth="1"/>
    <col min="2" max="20" width="22.81640625" style="1" customWidth="1"/>
    <col min="21" max="29" width="15.81640625" style="1" customWidth="1"/>
    <col min="30" max="30" width="36.08984375" style="1" customWidth="1"/>
    <col min="31" max="31" width="22.81640625" style="1" customWidth="1"/>
    <col min="32" max="32" width="16.08984375" style="1" customWidth="1"/>
    <col min="33" max="16384" width="8.90625" style="1"/>
  </cols>
  <sheetData>
    <row r="1" spans="1:31" ht="19" customHeight="1">
      <c r="A1" s="20" t="s">
        <v>0</v>
      </c>
      <c r="B1" s="20" t="s">
        <v>25</v>
      </c>
      <c r="C1" s="8" t="s">
        <v>1</v>
      </c>
      <c r="D1" s="8"/>
      <c r="E1" s="8"/>
      <c r="F1" s="4" t="s">
        <v>2</v>
      </c>
      <c r="G1" s="4"/>
      <c r="H1" s="4"/>
      <c r="I1" s="8" t="s">
        <v>3</v>
      </c>
      <c r="J1" s="8"/>
      <c r="K1" s="8"/>
      <c r="L1" s="8"/>
      <c r="M1" s="4" t="s">
        <v>4</v>
      </c>
      <c r="N1" s="4"/>
      <c r="O1" s="4"/>
      <c r="P1" s="4"/>
      <c r="Q1" s="8" t="s">
        <v>5</v>
      </c>
      <c r="R1" s="8"/>
      <c r="S1" s="8"/>
      <c r="T1" s="8"/>
      <c r="U1" s="9" t="s">
        <v>27</v>
      </c>
      <c r="V1" s="10"/>
      <c r="W1" s="10"/>
      <c r="X1" s="10"/>
      <c r="Y1" s="10"/>
      <c r="Z1" s="10"/>
      <c r="AA1" s="10"/>
      <c r="AB1" s="10"/>
      <c r="AC1" s="10"/>
      <c r="AD1" s="10"/>
      <c r="AE1" s="11"/>
    </row>
    <row r="2" spans="1:31" ht="19" customHeight="1">
      <c r="A2" s="21"/>
      <c r="B2" s="21"/>
      <c r="C2" s="17" t="s">
        <v>14</v>
      </c>
      <c r="D2" s="17" t="s">
        <v>17</v>
      </c>
      <c r="E2" s="12" t="s">
        <v>7</v>
      </c>
      <c r="F2" s="14" t="s">
        <v>15</v>
      </c>
      <c r="G2" s="14" t="s">
        <v>19</v>
      </c>
      <c r="H2" s="13" t="s">
        <v>7</v>
      </c>
      <c r="I2" s="17" t="s">
        <v>18</v>
      </c>
      <c r="J2" s="12" t="s">
        <v>6</v>
      </c>
      <c r="K2" s="17" t="s">
        <v>20</v>
      </c>
      <c r="L2" s="12" t="s">
        <v>6</v>
      </c>
      <c r="M2" s="14" t="s">
        <v>21</v>
      </c>
      <c r="N2" s="13" t="s">
        <v>6</v>
      </c>
      <c r="O2" s="14" t="s">
        <v>22</v>
      </c>
      <c r="P2" s="13" t="s">
        <v>6</v>
      </c>
      <c r="Q2" s="17" t="s">
        <v>23</v>
      </c>
      <c r="R2" s="12" t="s">
        <v>6</v>
      </c>
      <c r="S2" s="17" t="s">
        <v>24</v>
      </c>
      <c r="T2" s="12" t="s">
        <v>6</v>
      </c>
      <c r="U2" s="4" t="s">
        <v>16</v>
      </c>
      <c r="V2" s="4"/>
      <c r="W2" s="4"/>
      <c r="X2" s="4"/>
      <c r="Y2" s="4"/>
      <c r="Z2" s="4"/>
      <c r="AA2" s="4"/>
      <c r="AB2" s="4"/>
      <c r="AC2" s="4"/>
      <c r="AD2" s="14" t="s">
        <v>26</v>
      </c>
      <c r="AE2" s="5" t="s">
        <v>7</v>
      </c>
    </row>
    <row r="3" spans="1:31" ht="19" customHeight="1">
      <c r="A3" s="21"/>
      <c r="B3" s="21"/>
      <c r="C3" s="18"/>
      <c r="D3" s="18"/>
      <c r="E3" s="12"/>
      <c r="F3" s="15"/>
      <c r="G3" s="15"/>
      <c r="H3" s="13"/>
      <c r="I3" s="18"/>
      <c r="J3" s="12"/>
      <c r="K3" s="18"/>
      <c r="L3" s="12"/>
      <c r="M3" s="15"/>
      <c r="N3" s="13"/>
      <c r="O3" s="15"/>
      <c r="P3" s="13"/>
      <c r="Q3" s="18"/>
      <c r="R3" s="12"/>
      <c r="S3" s="18"/>
      <c r="T3" s="12"/>
      <c r="U3" s="4" t="s">
        <v>8</v>
      </c>
      <c r="V3" s="4"/>
      <c r="W3" s="4"/>
      <c r="X3" s="4" t="s">
        <v>9</v>
      </c>
      <c r="Y3" s="4"/>
      <c r="Z3" s="4"/>
      <c r="AA3" s="4" t="s">
        <v>10</v>
      </c>
      <c r="AB3" s="4"/>
      <c r="AC3" s="4"/>
      <c r="AD3" s="15"/>
      <c r="AE3" s="6"/>
    </row>
    <row r="4" spans="1:31" ht="19" customHeight="1">
      <c r="A4" s="22"/>
      <c r="B4" s="21"/>
      <c r="C4" s="19"/>
      <c r="D4" s="19"/>
      <c r="E4" s="12"/>
      <c r="F4" s="16"/>
      <c r="G4" s="16"/>
      <c r="H4" s="13"/>
      <c r="I4" s="19"/>
      <c r="J4" s="12"/>
      <c r="K4" s="19"/>
      <c r="L4" s="12"/>
      <c r="M4" s="16"/>
      <c r="N4" s="13"/>
      <c r="O4" s="16"/>
      <c r="P4" s="13"/>
      <c r="Q4" s="19"/>
      <c r="R4" s="12"/>
      <c r="S4" s="19"/>
      <c r="T4" s="12"/>
      <c r="U4" s="2" t="s">
        <v>11</v>
      </c>
      <c r="V4" s="2" t="s">
        <v>12</v>
      </c>
      <c r="W4" s="2" t="s">
        <v>13</v>
      </c>
      <c r="X4" s="2" t="s">
        <v>11</v>
      </c>
      <c r="Y4" s="2" t="s">
        <v>12</v>
      </c>
      <c r="Z4" s="2" t="s">
        <v>13</v>
      </c>
      <c r="AA4" s="2" t="s">
        <v>11</v>
      </c>
      <c r="AB4" s="2" t="s">
        <v>12</v>
      </c>
      <c r="AC4" s="2" t="s">
        <v>13</v>
      </c>
      <c r="AD4" s="16"/>
      <c r="AE4" s="7"/>
    </row>
    <row r="5" spans="1:31">
      <c r="A5" s="3" t="s">
        <v>28</v>
      </c>
      <c r="B5" s="1" t="s">
        <v>30</v>
      </c>
      <c r="AE5" s="1" t="s">
        <v>61</v>
      </c>
    </row>
    <row r="6" spans="1:31">
      <c r="A6" s="3"/>
      <c r="B6" s="1" t="s">
        <v>32</v>
      </c>
      <c r="C6" s="1" t="s">
        <v>37</v>
      </c>
      <c r="D6" s="1" t="s">
        <v>40</v>
      </c>
      <c r="E6" s="1" t="s">
        <v>39</v>
      </c>
      <c r="F6" s="1" t="s">
        <v>41</v>
      </c>
      <c r="G6" s="1" t="s">
        <v>38</v>
      </c>
      <c r="H6" s="1" t="s">
        <v>42</v>
      </c>
      <c r="I6" s="1" t="s">
        <v>37</v>
      </c>
      <c r="J6" s="1" t="s">
        <v>39</v>
      </c>
      <c r="K6" s="1" t="s">
        <v>40</v>
      </c>
      <c r="L6" s="1" t="s">
        <v>76</v>
      </c>
      <c r="M6" s="1" t="s">
        <v>37</v>
      </c>
      <c r="N6" s="1" t="s">
        <v>43</v>
      </c>
      <c r="O6" s="1" t="s">
        <v>40</v>
      </c>
      <c r="P6" s="1" t="s">
        <v>39</v>
      </c>
      <c r="Q6" s="1" t="s">
        <v>37</v>
      </c>
      <c r="R6" s="1" t="s">
        <v>58</v>
      </c>
      <c r="S6" s="1" t="s">
        <v>40</v>
      </c>
      <c r="T6" s="1" t="s">
        <v>44</v>
      </c>
      <c r="U6" s="1">
        <v>17</v>
      </c>
      <c r="V6" s="1">
        <v>61</v>
      </c>
      <c r="W6" s="1">
        <f>U6/V6*100</f>
        <v>27.868852459016392</v>
      </c>
      <c r="X6" s="1">
        <v>10</v>
      </c>
      <c r="Y6" s="1">
        <v>30</v>
      </c>
      <c r="Z6" s="1">
        <f>X6/Y6*100</f>
        <v>33.333333333333329</v>
      </c>
      <c r="AA6" s="1">
        <v>27</v>
      </c>
      <c r="AB6" s="1">
        <v>91</v>
      </c>
      <c r="AC6" s="1">
        <f>AA6/AB6*100</f>
        <v>29.670329670329672</v>
      </c>
      <c r="AD6" s="1" t="s">
        <v>45</v>
      </c>
      <c r="AE6" s="1" t="s">
        <v>131</v>
      </c>
    </row>
    <row r="7" spans="1:31">
      <c r="B7" s="1" t="s">
        <v>48</v>
      </c>
    </row>
    <row r="8" spans="1:31">
      <c r="B8" s="1" t="s">
        <v>29</v>
      </c>
    </row>
    <row r="9" spans="1:31">
      <c r="B9" s="1" t="s">
        <v>33</v>
      </c>
      <c r="C9" s="1" t="s">
        <v>37</v>
      </c>
      <c r="D9" s="1" t="s">
        <v>37</v>
      </c>
      <c r="E9" s="1" t="s">
        <v>39</v>
      </c>
      <c r="F9" s="1" t="s">
        <v>41</v>
      </c>
      <c r="G9" s="1" t="s">
        <v>38</v>
      </c>
      <c r="H9" s="1" t="s">
        <v>42</v>
      </c>
      <c r="I9" s="1" t="s">
        <v>37</v>
      </c>
      <c r="J9" s="1" t="s">
        <v>39</v>
      </c>
      <c r="K9" s="1" t="s">
        <v>40</v>
      </c>
      <c r="L9" s="1" t="s">
        <v>76</v>
      </c>
      <c r="M9" s="1" t="s">
        <v>37</v>
      </c>
      <c r="N9" s="1" t="s">
        <v>43</v>
      </c>
      <c r="O9" s="1" t="s">
        <v>40</v>
      </c>
      <c r="P9" s="1" t="s">
        <v>39</v>
      </c>
      <c r="Q9" s="1" t="s">
        <v>37</v>
      </c>
      <c r="R9" s="1" t="s">
        <v>58</v>
      </c>
      <c r="S9" s="1" t="s">
        <v>40</v>
      </c>
      <c r="T9" s="1" t="s">
        <v>44</v>
      </c>
    </row>
    <row r="10" spans="1:31">
      <c r="B10" s="1" t="s">
        <v>36</v>
      </c>
      <c r="R10" s="1" t="s">
        <v>55</v>
      </c>
      <c r="U10" s="1">
        <v>17</v>
      </c>
      <c r="V10" s="1">
        <v>61</v>
      </c>
      <c r="W10" s="1">
        <f>U10/V10*100</f>
        <v>27.868852459016392</v>
      </c>
      <c r="X10" s="1">
        <v>10</v>
      </c>
      <c r="Y10" s="1">
        <v>30</v>
      </c>
      <c r="Z10" s="1">
        <f t="shared" ref="Z10:Z70" si="0">X10/Y10*100</f>
        <v>33.333333333333329</v>
      </c>
      <c r="AA10" s="1">
        <f>SUM(U10,X10)</f>
        <v>27</v>
      </c>
      <c r="AB10" s="1">
        <f>SUM(V10,Y10)</f>
        <v>91</v>
      </c>
      <c r="AC10" s="1">
        <f t="shared" ref="AC10:AC70" si="1">AA10/AB10*100</f>
        <v>29.670329670329672</v>
      </c>
      <c r="AD10" s="1" t="s">
        <v>45</v>
      </c>
      <c r="AE10" s="1" t="s">
        <v>131</v>
      </c>
    </row>
    <row r="11" spans="1:31">
      <c r="B11" s="1" t="s">
        <v>35</v>
      </c>
      <c r="R11" s="1" t="s">
        <v>56</v>
      </c>
      <c r="V11" s="1">
        <v>61</v>
      </c>
      <c r="Y11" s="1">
        <v>30</v>
      </c>
      <c r="AA11" s="1">
        <v>36</v>
      </c>
      <c r="AB11" s="1">
        <f>SUM(V11,Y11)</f>
        <v>91</v>
      </c>
      <c r="AC11" s="1">
        <f t="shared" si="1"/>
        <v>39.560439560439562</v>
      </c>
      <c r="AD11" s="1" t="s">
        <v>45</v>
      </c>
      <c r="AE11" s="1" t="s">
        <v>131</v>
      </c>
    </row>
    <row r="12" spans="1:31">
      <c r="B12" s="1" t="s">
        <v>31</v>
      </c>
      <c r="R12" s="1" t="s">
        <v>57</v>
      </c>
      <c r="V12" s="1">
        <v>61</v>
      </c>
      <c r="Y12" s="1">
        <v>30</v>
      </c>
      <c r="AA12" s="1">
        <v>37</v>
      </c>
      <c r="AB12" s="1">
        <f>SUM(V12,Y12)</f>
        <v>91</v>
      </c>
      <c r="AC12" s="1">
        <f t="shared" si="1"/>
        <v>40.659340659340657</v>
      </c>
      <c r="AD12" s="1" t="s">
        <v>45</v>
      </c>
      <c r="AE12" s="1" t="s">
        <v>131</v>
      </c>
    </row>
    <row r="14" spans="1:31">
      <c r="A14" s="1" t="s">
        <v>46</v>
      </c>
      <c r="B14" s="1" t="s">
        <v>47</v>
      </c>
    </row>
    <row r="15" spans="1:31">
      <c r="B15" s="1" t="s">
        <v>32</v>
      </c>
      <c r="C15" s="1" t="s">
        <v>41</v>
      </c>
      <c r="D15" s="1" t="s">
        <v>38</v>
      </c>
      <c r="E15" s="1" t="s">
        <v>52</v>
      </c>
      <c r="F15" s="1" t="s">
        <v>41</v>
      </c>
      <c r="G15" s="1" t="s">
        <v>38</v>
      </c>
      <c r="H15" s="1" t="s">
        <v>52</v>
      </c>
      <c r="I15" s="1" t="s">
        <v>37</v>
      </c>
      <c r="J15" s="1" t="s">
        <v>53</v>
      </c>
      <c r="K15" s="1" t="s">
        <v>40</v>
      </c>
      <c r="L15" s="1" t="s">
        <v>76</v>
      </c>
      <c r="M15" s="1" t="s">
        <v>37</v>
      </c>
      <c r="N15" s="1" t="s">
        <v>54</v>
      </c>
      <c r="O15" s="1" t="s">
        <v>40</v>
      </c>
      <c r="P15" s="1" t="s">
        <v>53</v>
      </c>
      <c r="Q15" s="1" t="s">
        <v>37</v>
      </c>
      <c r="R15" s="1" t="s">
        <v>59</v>
      </c>
      <c r="S15" s="1" t="s">
        <v>40</v>
      </c>
      <c r="T15" s="1" t="s">
        <v>60</v>
      </c>
      <c r="U15" s="1">
        <v>96</v>
      </c>
      <c r="V15" s="1">
        <v>242</v>
      </c>
      <c r="W15" s="1">
        <f>U15/V15*100</f>
        <v>39.669421487603309</v>
      </c>
      <c r="X15" s="1">
        <v>46</v>
      </c>
      <c r="Y15" s="1">
        <v>118</v>
      </c>
      <c r="Z15" s="1">
        <f t="shared" si="0"/>
        <v>38.983050847457626</v>
      </c>
      <c r="AA15" s="1">
        <f>SUM(U15,X15)</f>
        <v>142</v>
      </c>
      <c r="AB15" s="1">
        <f>SUM(V15, Y15)</f>
        <v>360</v>
      </c>
      <c r="AC15" s="1">
        <f t="shared" si="1"/>
        <v>39.444444444444443</v>
      </c>
      <c r="AD15" s="1" t="s">
        <v>45</v>
      </c>
      <c r="AE15" s="1" t="s">
        <v>131</v>
      </c>
    </row>
    <row r="16" spans="1:31">
      <c r="B16" s="1" t="s">
        <v>49</v>
      </c>
      <c r="AE16" s="1" t="s">
        <v>61</v>
      </c>
    </row>
    <row r="17" spans="1:31">
      <c r="B17" s="1" t="s">
        <v>29</v>
      </c>
    </row>
    <row r="18" spans="1:31">
      <c r="B18" s="1" t="s">
        <v>33</v>
      </c>
      <c r="C18" s="1" t="s">
        <v>41</v>
      </c>
      <c r="D18" s="1" t="s">
        <v>38</v>
      </c>
      <c r="E18" s="1" t="s">
        <v>52</v>
      </c>
      <c r="F18" s="1" t="s">
        <v>41</v>
      </c>
      <c r="G18" s="1" t="s">
        <v>38</v>
      </c>
      <c r="H18" s="1" t="s">
        <v>52</v>
      </c>
      <c r="I18" s="1" t="s">
        <v>37</v>
      </c>
      <c r="J18" s="1" t="s">
        <v>53</v>
      </c>
      <c r="K18" s="1" t="s">
        <v>40</v>
      </c>
      <c r="L18" s="1" t="s">
        <v>76</v>
      </c>
      <c r="M18" s="1" t="s">
        <v>37</v>
      </c>
      <c r="N18" s="1" t="s">
        <v>54</v>
      </c>
      <c r="O18" s="1" t="s">
        <v>40</v>
      </c>
      <c r="P18" s="1" t="s">
        <v>53</v>
      </c>
      <c r="Q18" s="1" t="s">
        <v>37</v>
      </c>
      <c r="R18" s="1" t="s">
        <v>59</v>
      </c>
      <c r="S18" s="1" t="s">
        <v>40</v>
      </c>
      <c r="T18" s="1" t="s">
        <v>60</v>
      </c>
      <c r="U18" s="1">
        <v>96</v>
      </c>
      <c r="V18" s="1">
        <v>242</v>
      </c>
      <c r="W18" s="1">
        <f>U18/V18*100</f>
        <v>39.669421487603309</v>
      </c>
      <c r="X18" s="1">
        <v>46</v>
      </c>
      <c r="Y18" s="1">
        <v>118</v>
      </c>
      <c r="Z18" s="1">
        <f t="shared" si="0"/>
        <v>38.983050847457626</v>
      </c>
      <c r="AA18" s="1">
        <f>SUM(U18,X18)</f>
        <v>142</v>
      </c>
      <c r="AB18" s="1">
        <f>SUM(V18, Y18)</f>
        <v>360</v>
      </c>
      <c r="AC18" s="1">
        <f t="shared" si="1"/>
        <v>39.444444444444443</v>
      </c>
      <c r="AD18" s="1" t="s">
        <v>45</v>
      </c>
      <c r="AE18" s="1" t="s">
        <v>131</v>
      </c>
    </row>
    <row r="19" spans="1:31">
      <c r="B19" s="1" t="s">
        <v>50</v>
      </c>
      <c r="AE19" s="1" t="s">
        <v>61</v>
      </c>
    </row>
    <row r="20" spans="1:31">
      <c r="B20" s="1" t="s">
        <v>34</v>
      </c>
    </row>
    <row r="21" spans="1:31">
      <c r="B21" s="1" t="s">
        <v>51</v>
      </c>
    </row>
    <row r="23" spans="1:31">
      <c r="A23" s="1" t="s">
        <v>62</v>
      </c>
      <c r="B23" s="1" t="s">
        <v>70</v>
      </c>
      <c r="AE23" s="1" t="s">
        <v>61</v>
      </c>
    </row>
    <row r="24" spans="1:31">
      <c r="B24" s="1" t="s">
        <v>32</v>
      </c>
      <c r="C24" s="1" t="s">
        <v>37</v>
      </c>
      <c r="D24" s="1" t="s">
        <v>40</v>
      </c>
      <c r="E24" s="1" t="s">
        <v>66</v>
      </c>
      <c r="F24" s="1" t="s">
        <v>37</v>
      </c>
      <c r="G24" s="1" t="s">
        <v>40</v>
      </c>
      <c r="H24" s="1" t="s">
        <v>67</v>
      </c>
      <c r="I24" s="1" t="s">
        <v>37</v>
      </c>
      <c r="J24" s="1" t="s">
        <v>68</v>
      </c>
      <c r="K24" s="1" t="s">
        <v>40</v>
      </c>
      <c r="L24" s="1" t="s">
        <v>76</v>
      </c>
      <c r="M24" s="1" t="s">
        <v>37</v>
      </c>
      <c r="N24" s="1" t="s">
        <v>68</v>
      </c>
      <c r="O24" s="1" t="s">
        <v>40</v>
      </c>
      <c r="P24" s="1" t="s">
        <v>68</v>
      </c>
      <c r="Q24" s="1" t="s">
        <v>37</v>
      </c>
      <c r="R24" s="1" t="s">
        <v>69</v>
      </c>
      <c r="S24" s="1" t="s">
        <v>40</v>
      </c>
      <c r="T24" s="1" t="s">
        <v>68</v>
      </c>
      <c r="U24" s="1">
        <v>1</v>
      </c>
      <c r="V24" s="1">
        <v>20</v>
      </c>
      <c r="W24" s="1">
        <f>U24/V24*100</f>
        <v>5</v>
      </c>
      <c r="X24" s="1">
        <v>1</v>
      </c>
      <c r="Y24" s="1">
        <v>8</v>
      </c>
      <c r="Z24" s="1">
        <f t="shared" si="0"/>
        <v>12.5</v>
      </c>
      <c r="AA24" s="1">
        <v>2</v>
      </c>
      <c r="AB24" s="1">
        <v>28</v>
      </c>
      <c r="AC24" s="1">
        <f t="shared" si="1"/>
        <v>7.1428571428571423</v>
      </c>
      <c r="AD24" s="1" t="s">
        <v>40</v>
      </c>
      <c r="AE24" s="1" t="s">
        <v>111</v>
      </c>
    </row>
    <row r="25" spans="1:31">
      <c r="B25" s="1" t="s">
        <v>63</v>
      </c>
      <c r="AE25" s="1" t="s">
        <v>61</v>
      </c>
    </row>
    <row r="26" spans="1:31">
      <c r="B26" s="1" t="s">
        <v>64</v>
      </c>
    </row>
    <row r="27" spans="1:31">
      <c r="B27" s="1" t="s">
        <v>33</v>
      </c>
      <c r="C27" s="1" t="s">
        <v>37</v>
      </c>
      <c r="D27" s="1" t="s">
        <v>40</v>
      </c>
      <c r="E27" s="1" t="s">
        <v>66</v>
      </c>
      <c r="F27" s="1" t="s">
        <v>37</v>
      </c>
      <c r="G27" s="1" t="s">
        <v>40</v>
      </c>
      <c r="H27" s="1" t="s">
        <v>67</v>
      </c>
      <c r="I27" s="1" t="s">
        <v>37</v>
      </c>
      <c r="J27" s="1" t="s">
        <v>68</v>
      </c>
      <c r="K27" s="1" t="s">
        <v>40</v>
      </c>
      <c r="L27" s="1" t="s">
        <v>76</v>
      </c>
      <c r="M27" s="1" t="s">
        <v>37</v>
      </c>
      <c r="N27" s="1" t="s">
        <v>68</v>
      </c>
      <c r="O27" s="1" t="s">
        <v>40</v>
      </c>
      <c r="P27" s="1" t="s">
        <v>68</v>
      </c>
      <c r="Q27" s="1" t="s">
        <v>37</v>
      </c>
      <c r="R27" s="1" t="s">
        <v>69</v>
      </c>
      <c r="S27" s="1" t="s">
        <v>40</v>
      </c>
      <c r="T27" s="1" t="s">
        <v>68</v>
      </c>
      <c r="AE27" s="1" t="s">
        <v>61</v>
      </c>
    </row>
    <row r="28" spans="1:31">
      <c r="B28" s="1" t="s">
        <v>65</v>
      </c>
      <c r="U28" s="1">
        <v>5</v>
      </c>
      <c r="V28" s="1">
        <v>20</v>
      </c>
      <c r="W28" s="1">
        <f t="shared" ref="W28:W70" si="2">U28/V28*100</f>
        <v>25</v>
      </c>
      <c r="X28" s="1">
        <v>3</v>
      </c>
      <c r="Y28" s="1">
        <v>8</v>
      </c>
      <c r="Z28" s="1">
        <f t="shared" si="0"/>
        <v>37.5</v>
      </c>
      <c r="AA28" s="1">
        <v>8</v>
      </c>
      <c r="AB28" s="1">
        <v>28</v>
      </c>
      <c r="AC28" s="1">
        <f t="shared" si="1"/>
        <v>28.571428571428569</v>
      </c>
      <c r="AD28" s="1" t="s">
        <v>45</v>
      </c>
      <c r="AE28" s="1" t="s">
        <v>71</v>
      </c>
    </row>
    <row r="29" spans="1:31">
      <c r="B29" s="1" t="s">
        <v>34</v>
      </c>
      <c r="U29" s="1">
        <v>1</v>
      </c>
      <c r="V29" s="1">
        <v>20</v>
      </c>
      <c r="W29" s="1">
        <f t="shared" si="2"/>
        <v>5</v>
      </c>
      <c r="X29" s="1">
        <v>1</v>
      </c>
      <c r="Y29" s="1">
        <v>8</v>
      </c>
      <c r="Z29" s="1">
        <f t="shared" si="0"/>
        <v>12.5</v>
      </c>
      <c r="AA29" s="1">
        <v>2</v>
      </c>
      <c r="AB29" s="1">
        <v>28</v>
      </c>
      <c r="AC29" s="1">
        <f t="shared" si="1"/>
        <v>7.1428571428571423</v>
      </c>
      <c r="AD29" s="1" t="s">
        <v>40</v>
      </c>
      <c r="AE29" s="1" t="s">
        <v>111</v>
      </c>
    </row>
    <row r="30" spans="1:31">
      <c r="B30" s="1" t="s">
        <v>35</v>
      </c>
      <c r="U30" s="1">
        <v>13</v>
      </c>
      <c r="V30" s="1">
        <v>20</v>
      </c>
      <c r="W30" s="1">
        <f t="shared" si="2"/>
        <v>65</v>
      </c>
      <c r="X30" s="1">
        <v>4</v>
      </c>
      <c r="Y30" s="1">
        <v>8</v>
      </c>
      <c r="Z30" s="1">
        <f t="shared" si="0"/>
        <v>50</v>
      </c>
      <c r="AA30" s="1">
        <v>17</v>
      </c>
      <c r="AB30" s="1">
        <v>28</v>
      </c>
      <c r="AC30" s="1">
        <f t="shared" si="1"/>
        <v>60.714285714285708</v>
      </c>
      <c r="AD30" s="1" t="s">
        <v>45</v>
      </c>
      <c r="AE30" s="1" t="s">
        <v>131</v>
      </c>
    </row>
    <row r="31" spans="1:31">
      <c r="B31" s="1" t="s">
        <v>31</v>
      </c>
      <c r="U31" s="1">
        <v>13</v>
      </c>
      <c r="V31" s="1">
        <v>20</v>
      </c>
      <c r="W31" s="1">
        <f t="shared" si="2"/>
        <v>65</v>
      </c>
      <c r="X31" s="1">
        <v>4</v>
      </c>
      <c r="Y31" s="1">
        <v>8</v>
      </c>
      <c r="Z31" s="1">
        <f t="shared" si="0"/>
        <v>50</v>
      </c>
      <c r="AA31" s="1">
        <v>17</v>
      </c>
      <c r="AB31" s="1">
        <v>28</v>
      </c>
      <c r="AC31" s="1">
        <f t="shared" si="1"/>
        <v>60.714285714285708</v>
      </c>
      <c r="AD31" s="1" t="s">
        <v>45</v>
      </c>
      <c r="AE31" s="1" t="s">
        <v>131</v>
      </c>
    </row>
    <row r="33" spans="1:31">
      <c r="A33" s="1" t="s">
        <v>72</v>
      </c>
      <c r="B33" s="1" t="s">
        <v>85</v>
      </c>
    </row>
    <row r="34" spans="1:31">
      <c r="B34" s="1" t="s">
        <v>32</v>
      </c>
      <c r="C34" s="1" t="s">
        <v>37</v>
      </c>
      <c r="D34" s="1" t="s">
        <v>40</v>
      </c>
      <c r="E34" s="1" t="s">
        <v>74</v>
      </c>
      <c r="F34" s="1" t="s">
        <v>37</v>
      </c>
      <c r="G34" s="1" t="s">
        <v>40</v>
      </c>
      <c r="H34" s="1" t="s">
        <v>74</v>
      </c>
      <c r="I34" s="1" t="s">
        <v>37</v>
      </c>
      <c r="J34" s="1" t="s">
        <v>75</v>
      </c>
      <c r="K34" s="1" t="s">
        <v>40</v>
      </c>
      <c r="L34" s="1" t="s">
        <v>76</v>
      </c>
      <c r="M34" s="1" t="s">
        <v>37</v>
      </c>
      <c r="N34" s="1" t="s">
        <v>77</v>
      </c>
      <c r="O34" s="1" t="s">
        <v>40</v>
      </c>
      <c r="P34" s="1" t="s">
        <v>75</v>
      </c>
      <c r="Q34" s="1" t="s">
        <v>37</v>
      </c>
      <c r="R34" s="1" t="s">
        <v>78</v>
      </c>
      <c r="S34" s="1" t="s">
        <v>40</v>
      </c>
      <c r="T34" s="1" t="s">
        <v>75</v>
      </c>
      <c r="AE34" s="1" t="s">
        <v>61</v>
      </c>
    </row>
    <row r="35" spans="1:31">
      <c r="B35" s="1" t="s">
        <v>73</v>
      </c>
      <c r="U35" s="1">
        <v>95</v>
      </c>
      <c r="V35" s="1">
        <v>322</v>
      </c>
      <c r="W35" s="1">
        <f t="shared" si="2"/>
        <v>29.503105590062113</v>
      </c>
      <c r="X35" s="1">
        <v>42</v>
      </c>
      <c r="Y35" s="1">
        <v>135</v>
      </c>
      <c r="Z35" s="1">
        <f t="shared" si="0"/>
        <v>31.111111111111111</v>
      </c>
      <c r="AA35" s="1">
        <v>137</v>
      </c>
      <c r="AB35" s="1">
        <f>SUM(V35, Y35)</f>
        <v>457</v>
      </c>
      <c r="AC35" s="1">
        <f t="shared" si="1"/>
        <v>29.978118161925604</v>
      </c>
      <c r="AD35" s="1" t="s">
        <v>45</v>
      </c>
      <c r="AE35" s="1" t="s">
        <v>131</v>
      </c>
    </row>
    <row r="36" spans="1:31">
      <c r="B36" s="1" t="s">
        <v>33</v>
      </c>
      <c r="C36" s="1" t="s">
        <v>37</v>
      </c>
      <c r="D36" s="1" t="s">
        <v>40</v>
      </c>
      <c r="E36" s="1" t="s">
        <v>74</v>
      </c>
      <c r="F36" s="1" t="s">
        <v>37</v>
      </c>
      <c r="G36" s="1" t="s">
        <v>40</v>
      </c>
      <c r="H36" s="1" t="s">
        <v>74</v>
      </c>
      <c r="I36" s="1" t="s">
        <v>37</v>
      </c>
      <c r="J36" s="1" t="s">
        <v>75</v>
      </c>
      <c r="K36" s="1" t="s">
        <v>40</v>
      </c>
      <c r="L36" s="1" t="s">
        <v>76</v>
      </c>
      <c r="M36" s="1" t="s">
        <v>37</v>
      </c>
      <c r="N36" s="1" t="s">
        <v>77</v>
      </c>
      <c r="O36" s="1" t="s">
        <v>40</v>
      </c>
      <c r="P36" s="1" t="s">
        <v>75</v>
      </c>
    </row>
    <row r="37" spans="1:31">
      <c r="B37" s="1" t="s">
        <v>50</v>
      </c>
      <c r="Q37" s="1" t="s">
        <v>37</v>
      </c>
      <c r="R37" s="1" t="s">
        <v>80</v>
      </c>
      <c r="S37" s="1" t="s">
        <v>40</v>
      </c>
      <c r="T37" s="1" t="s">
        <v>83</v>
      </c>
    </row>
    <row r="38" spans="1:31">
      <c r="B38" s="1" t="s">
        <v>34</v>
      </c>
      <c r="Q38" s="1" t="s">
        <v>37</v>
      </c>
      <c r="R38" s="1" t="s">
        <v>79</v>
      </c>
      <c r="S38" s="1" t="s">
        <v>40</v>
      </c>
      <c r="T38" s="1" t="s">
        <v>83</v>
      </c>
    </row>
    <row r="39" spans="1:31">
      <c r="B39" s="1" t="s">
        <v>35</v>
      </c>
      <c r="Q39" s="1" t="s">
        <v>41</v>
      </c>
      <c r="R39" s="1" t="s">
        <v>81</v>
      </c>
      <c r="S39" s="1" t="s">
        <v>38</v>
      </c>
      <c r="T39" s="1" t="s">
        <v>82</v>
      </c>
      <c r="U39" s="1">
        <v>282</v>
      </c>
      <c r="V39" s="1">
        <v>322</v>
      </c>
      <c r="W39" s="1">
        <f t="shared" si="2"/>
        <v>87.577639751552795</v>
      </c>
      <c r="X39" s="1">
        <v>112</v>
      </c>
      <c r="Y39" s="1">
        <v>135</v>
      </c>
      <c r="Z39" s="1">
        <f t="shared" si="0"/>
        <v>82.962962962962962</v>
      </c>
      <c r="AA39" s="1">
        <f>SUM(U39, X39)</f>
        <v>394</v>
      </c>
      <c r="AB39" s="1">
        <v>457</v>
      </c>
      <c r="AC39" s="1">
        <f t="shared" si="1"/>
        <v>86.214442013129101</v>
      </c>
      <c r="AD39" s="1" t="s">
        <v>45</v>
      </c>
      <c r="AE39" s="1" t="s">
        <v>131</v>
      </c>
    </row>
    <row r="40" spans="1:31">
      <c r="B40" s="1" t="s">
        <v>31</v>
      </c>
      <c r="Q40" s="1" t="s">
        <v>41</v>
      </c>
      <c r="R40" s="1" t="s">
        <v>81</v>
      </c>
      <c r="S40" s="1" t="s">
        <v>38</v>
      </c>
      <c r="T40" s="1" t="s">
        <v>82</v>
      </c>
      <c r="U40" s="1">
        <v>282</v>
      </c>
      <c r="V40" s="1">
        <v>322</v>
      </c>
      <c r="W40" s="1">
        <f t="shared" si="2"/>
        <v>87.577639751552795</v>
      </c>
      <c r="X40" s="1">
        <v>112</v>
      </c>
      <c r="Y40" s="1">
        <v>135</v>
      </c>
      <c r="Z40" s="1">
        <f t="shared" si="0"/>
        <v>82.962962962962962</v>
      </c>
      <c r="AA40" s="1">
        <f>SUM(U40, X40)</f>
        <v>394</v>
      </c>
      <c r="AB40" s="1">
        <v>457</v>
      </c>
      <c r="AC40" s="1">
        <f t="shared" si="1"/>
        <v>86.214442013129101</v>
      </c>
      <c r="AD40" s="1" t="s">
        <v>45</v>
      </c>
      <c r="AE40" s="1" t="s">
        <v>131</v>
      </c>
    </row>
    <row r="42" spans="1:31">
      <c r="A42" s="1" t="s">
        <v>84</v>
      </c>
      <c r="B42" s="1" t="s">
        <v>95</v>
      </c>
    </row>
    <row r="43" spans="1:31">
      <c r="B43" s="1" t="s">
        <v>32</v>
      </c>
      <c r="C43" s="1" t="s">
        <v>37</v>
      </c>
      <c r="D43" s="1" t="s">
        <v>40</v>
      </c>
      <c r="E43" s="1" t="s">
        <v>88</v>
      </c>
      <c r="F43" s="1" t="s">
        <v>41</v>
      </c>
      <c r="G43" s="1" t="s">
        <v>38</v>
      </c>
      <c r="H43" s="1" t="s">
        <v>104</v>
      </c>
      <c r="I43" s="1" t="s">
        <v>37</v>
      </c>
      <c r="J43" s="1" t="s">
        <v>89</v>
      </c>
      <c r="K43" s="1" t="s">
        <v>40</v>
      </c>
      <c r="L43" s="1" t="s">
        <v>89</v>
      </c>
      <c r="M43" s="1" t="s">
        <v>37</v>
      </c>
      <c r="N43" s="1" t="s">
        <v>90</v>
      </c>
      <c r="O43" s="1" t="s">
        <v>40</v>
      </c>
      <c r="P43" s="1" t="s">
        <v>89</v>
      </c>
      <c r="Q43" s="1" t="s">
        <v>37</v>
      </c>
      <c r="R43" s="1" t="s">
        <v>91</v>
      </c>
      <c r="S43" s="1" t="s">
        <v>40</v>
      </c>
      <c r="T43" s="1" t="s">
        <v>89</v>
      </c>
      <c r="Y43" s="1">
        <v>136</v>
      </c>
      <c r="AE43" s="1" t="s">
        <v>61</v>
      </c>
    </row>
    <row r="44" spans="1:31">
      <c r="B44" s="1" t="s">
        <v>86</v>
      </c>
      <c r="U44" s="1">
        <v>21</v>
      </c>
      <c r="V44" s="1">
        <v>123</v>
      </c>
      <c r="W44" s="1">
        <f t="shared" si="2"/>
        <v>17.073170731707318</v>
      </c>
      <c r="X44" s="1">
        <v>19</v>
      </c>
      <c r="Y44" s="1">
        <v>115</v>
      </c>
      <c r="Z44" s="1">
        <f t="shared" si="0"/>
        <v>16.521739130434781</v>
      </c>
      <c r="AA44" s="1">
        <f>SUM(U44, X44)</f>
        <v>40</v>
      </c>
      <c r="AB44" s="1">
        <v>238</v>
      </c>
      <c r="AC44" s="1">
        <f t="shared" si="1"/>
        <v>16.806722689075631</v>
      </c>
      <c r="AD44" s="1" t="s">
        <v>128</v>
      </c>
      <c r="AE44" s="1" t="s">
        <v>129</v>
      </c>
    </row>
    <row r="45" spans="1:31">
      <c r="B45" s="1" t="s">
        <v>64</v>
      </c>
      <c r="U45" s="1">
        <v>18</v>
      </c>
      <c r="V45" s="1">
        <v>123</v>
      </c>
      <c r="W45" s="1">
        <f t="shared" si="2"/>
        <v>14.634146341463413</v>
      </c>
      <c r="X45" s="1">
        <v>18</v>
      </c>
      <c r="Y45" s="1">
        <v>115</v>
      </c>
      <c r="Z45" s="1">
        <f t="shared" si="0"/>
        <v>15.65217391304348</v>
      </c>
      <c r="AA45" s="1">
        <f>SUM(U45,X45)</f>
        <v>36</v>
      </c>
      <c r="AB45" s="1">
        <v>238</v>
      </c>
      <c r="AC45" s="1">
        <f t="shared" si="1"/>
        <v>15.126050420168067</v>
      </c>
      <c r="AD45" s="1" t="s">
        <v>128</v>
      </c>
      <c r="AE45" s="1" t="s">
        <v>129</v>
      </c>
    </row>
    <row r="46" spans="1:31">
      <c r="B46" s="1" t="s">
        <v>33</v>
      </c>
      <c r="C46" s="1" t="s">
        <v>37</v>
      </c>
      <c r="D46" s="1" t="s">
        <v>40</v>
      </c>
      <c r="E46" s="1" t="s">
        <v>88</v>
      </c>
      <c r="F46" s="1" t="s">
        <v>41</v>
      </c>
      <c r="G46" s="1" t="s">
        <v>38</v>
      </c>
      <c r="H46" s="1" t="s">
        <v>104</v>
      </c>
      <c r="I46" s="1" t="s">
        <v>37</v>
      </c>
      <c r="J46" s="1" t="s">
        <v>89</v>
      </c>
      <c r="K46" s="1" t="s">
        <v>40</v>
      </c>
      <c r="L46" s="1" t="s">
        <v>89</v>
      </c>
      <c r="M46" s="1" t="s">
        <v>37</v>
      </c>
      <c r="N46" s="1" t="s">
        <v>90</v>
      </c>
      <c r="O46" s="1" t="s">
        <v>40</v>
      </c>
      <c r="P46" s="1" t="s">
        <v>89</v>
      </c>
      <c r="AE46" s="1" t="s">
        <v>61</v>
      </c>
    </row>
    <row r="47" spans="1:31">
      <c r="B47" s="1" t="s">
        <v>87</v>
      </c>
      <c r="Q47" s="1" t="s">
        <v>37</v>
      </c>
      <c r="R47" s="1" t="s">
        <v>92</v>
      </c>
      <c r="S47" s="1" t="s">
        <v>40</v>
      </c>
      <c r="T47" s="1" t="s">
        <v>83</v>
      </c>
      <c r="U47" s="1">
        <v>26</v>
      </c>
      <c r="V47" s="1">
        <v>121</v>
      </c>
      <c r="W47" s="1">
        <f t="shared" si="2"/>
        <v>21.487603305785125</v>
      </c>
      <c r="X47" s="1">
        <v>21</v>
      </c>
      <c r="Y47" s="1">
        <v>114</v>
      </c>
      <c r="Z47" s="1">
        <f t="shared" si="0"/>
        <v>18.421052631578945</v>
      </c>
      <c r="AA47" s="1">
        <f>SUM(U47,X47)</f>
        <v>47</v>
      </c>
      <c r="AB47" s="1">
        <v>235</v>
      </c>
      <c r="AC47" s="1">
        <f t="shared" si="1"/>
        <v>20</v>
      </c>
      <c r="AD47" s="1" t="s">
        <v>45</v>
      </c>
      <c r="AE47" s="1" t="s">
        <v>131</v>
      </c>
    </row>
    <row r="48" spans="1:31">
      <c r="B48" s="1" t="s">
        <v>34</v>
      </c>
      <c r="Q48" s="1" t="s">
        <v>37</v>
      </c>
      <c r="R48" s="1" t="s">
        <v>92</v>
      </c>
      <c r="S48" s="1" t="s">
        <v>40</v>
      </c>
      <c r="T48" s="1" t="s">
        <v>83</v>
      </c>
      <c r="U48" s="1">
        <v>17</v>
      </c>
      <c r="V48" s="1">
        <v>123</v>
      </c>
      <c r="W48" s="1">
        <f t="shared" si="2"/>
        <v>13.821138211382115</v>
      </c>
      <c r="X48" s="1">
        <v>17</v>
      </c>
      <c r="Y48" s="1">
        <v>115</v>
      </c>
      <c r="Z48" s="1">
        <f t="shared" si="0"/>
        <v>14.782608695652174</v>
      </c>
      <c r="AA48" s="1">
        <f>SUM(U48,X48)</f>
        <v>34</v>
      </c>
      <c r="AB48" s="1">
        <v>238</v>
      </c>
      <c r="AC48" s="1">
        <f t="shared" si="1"/>
        <v>14.285714285714285</v>
      </c>
      <c r="AD48" s="1" t="s">
        <v>38</v>
      </c>
      <c r="AE48" s="1" t="s">
        <v>213</v>
      </c>
    </row>
    <row r="49" spans="1:31">
      <c r="B49" s="1" t="s">
        <v>35</v>
      </c>
      <c r="Q49" s="1" t="s">
        <v>41</v>
      </c>
      <c r="R49" s="1" t="s">
        <v>93</v>
      </c>
      <c r="S49" s="1" t="s">
        <v>38</v>
      </c>
      <c r="T49" s="1" t="s">
        <v>94</v>
      </c>
    </row>
    <row r="50" spans="1:31">
      <c r="B50" s="1" t="s">
        <v>31</v>
      </c>
      <c r="Q50" s="1" t="s">
        <v>41</v>
      </c>
      <c r="R50" s="1" t="s">
        <v>93</v>
      </c>
      <c r="S50" s="1" t="s">
        <v>38</v>
      </c>
      <c r="T50" s="1" t="s">
        <v>94</v>
      </c>
    </row>
    <row r="52" spans="1:31">
      <c r="B52" s="1" t="s">
        <v>96</v>
      </c>
    </row>
    <row r="53" spans="1:31">
      <c r="B53" s="1" t="s">
        <v>32</v>
      </c>
      <c r="C53" s="1" t="s">
        <v>37</v>
      </c>
      <c r="D53" s="1" t="s">
        <v>40</v>
      </c>
      <c r="E53" s="1" t="s">
        <v>88</v>
      </c>
      <c r="F53" s="1" t="s">
        <v>41</v>
      </c>
      <c r="G53" s="1" t="s">
        <v>38</v>
      </c>
      <c r="H53" s="1" t="s">
        <v>104</v>
      </c>
      <c r="I53" s="1" t="s">
        <v>37</v>
      </c>
      <c r="J53" s="1" t="s">
        <v>89</v>
      </c>
      <c r="K53" s="1" t="s">
        <v>40</v>
      </c>
      <c r="L53" s="1" t="s">
        <v>89</v>
      </c>
      <c r="M53" s="1" t="s">
        <v>37</v>
      </c>
      <c r="N53" s="1" t="s">
        <v>90</v>
      </c>
      <c r="O53" s="1" t="s">
        <v>40</v>
      </c>
      <c r="P53" s="1" t="s">
        <v>89</v>
      </c>
      <c r="Q53" s="1" t="s">
        <v>37</v>
      </c>
      <c r="R53" s="1" t="s">
        <v>91</v>
      </c>
      <c r="S53" s="1" t="s">
        <v>40</v>
      </c>
      <c r="T53" s="1" t="s">
        <v>89</v>
      </c>
      <c r="AE53" s="1" t="s">
        <v>61</v>
      </c>
    </row>
    <row r="54" spans="1:31">
      <c r="B54" s="1" t="s">
        <v>86</v>
      </c>
      <c r="U54" s="1">
        <v>85</v>
      </c>
      <c r="V54" s="1">
        <v>123</v>
      </c>
      <c r="W54" s="1">
        <f t="shared" si="2"/>
        <v>69.105691056910572</v>
      </c>
      <c r="X54" s="1">
        <v>73.900000000000006</v>
      </c>
      <c r="Y54" s="1">
        <v>115</v>
      </c>
      <c r="Z54" s="1">
        <f t="shared" si="0"/>
        <v>64.260869565217391</v>
      </c>
      <c r="AA54" s="1">
        <v>170</v>
      </c>
      <c r="AB54" s="1">
        <v>238</v>
      </c>
      <c r="AC54" s="1">
        <f t="shared" si="1"/>
        <v>71.428571428571431</v>
      </c>
      <c r="AD54" s="1" t="s">
        <v>45</v>
      </c>
      <c r="AE54" s="1" t="s">
        <v>131</v>
      </c>
    </row>
    <row r="55" spans="1:31">
      <c r="B55" s="1" t="s">
        <v>64</v>
      </c>
      <c r="U55" s="1">
        <v>84</v>
      </c>
      <c r="V55" s="1">
        <v>123</v>
      </c>
      <c r="W55" s="1">
        <f t="shared" si="2"/>
        <v>68.292682926829272</v>
      </c>
      <c r="X55" s="1">
        <v>86</v>
      </c>
      <c r="Y55" s="1">
        <v>115</v>
      </c>
      <c r="Z55" s="1">
        <f t="shared" si="0"/>
        <v>74.782608695652172</v>
      </c>
      <c r="AA55" s="1">
        <f>SUM(U55,X55)</f>
        <v>170</v>
      </c>
      <c r="AB55" s="1">
        <v>238</v>
      </c>
      <c r="AC55" s="1">
        <f t="shared" si="1"/>
        <v>71.428571428571431</v>
      </c>
      <c r="AD55" s="1" t="s">
        <v>45</v>
      </c>
      <c r="AE55" s="1" t="s">
        <v>131</v>
      </c>
    </row>
    <row r="57" spans="1:31">
      <c r="A57" s="1" t="s">
        <v>97</v>
      </c>
      <c r="B57" s="1" t="s">
        <v>98</v>
      </c>
      <c r="AE57" s="1" t="s">
        <v>61</v>
      </c>
    </row>
    <row r="58" spans="1:31">
      <c r="B58" s="1" t="s">
        <v>32</v>
      </c>
      <c r="C58" s="1" t="s">
        <v>41</v>
      </c>
      <c r="D58" s="1" t="s">
        <v>38</v>
      </c>
      <c r="E58" s="1" t="s">
        <v>102</v>
      </c>
      <c r="F58" s="1" t="s">
        <v>41</v>
      </c>
      <c r="G58" s="1" t="s">
        <v>38</v>
      </c>
      <c r="H58" s="1" t="s">
        <v>103</v>
      </c>
      <c r="I58" s="1" t="s">
        <v>41</v>
      </c>
      <c r="J58" s="1" t="s">
        <v>105</v>
      </c>
      <c r="K58" s="1" t="s">
        <v>38</v>
      </c>
      <c r="L58" s="1" t="s">
        <v>106</v>
      </c>
      <c r="M58" s="1" t="s">
        <v>41</v>
      </c>
      <c r="N58" s="1" t="s">
        <v>107</v>
      </c>
      <c r="O58" s="1" t="s">
        <v>38</v>
      </c>
      <c r="P58" s="1" t="s">
        <v>108</v>
      </c>
      <c r="Q58" s="1" t="s">
        <v>41</v>
      </c>
      <c r="R58" s="1" t="s">
        <v>109</v>
      </c>
      <c r="S58" s="1" t="s">
        <v>38</v>
      </c>
      <c r="T58" s="1" t="s">
        <v>110</v>
      </c>
      <c r="U58" s="1">
        <v>2</v>
      </c>
      <c r="V58" s="1">
        <v>124</v>
      </c>
      <c r="W58" s="1">
        <f t="shared" si="2"/>
        <v>1.6129032258064515</v>
      </c>
      <c r="X58" s="1">
        <v>3</v>
      </c>
      <c r="Y58" s="1">
        <v>110</v>
      </c>
      <c r="Z58" s="1">
        <f t="shared" si="0"/>
        <v>2.7272727272727271</v>
      </c>
      <c r="AA58" s="1">
        <f>SUM(U58,X58)</f>
        <v>5</v>
      </c>
      <c r="AB58" s="1">
        <v>234</v>
      </c>
      <c r="AC58" s="1">
        <f t="shared" si="1"/>
        <v>2.1367521367521367</v>
      </c>
      <c r="AD58" s="1" t="s">
        <v>40</v>
      </c>
      <c r="AE58" s="1" t="s">
        <v>111</v>
      </c>
    </row>
    <row r="59" spans="1:31">
      <c r="B59" s="1" t="s">
        <v>63</v>
      </c>
    </row>
    <row r="60" spans="1:31">
      <c r="B60" s="1" t="s">
        <v>64</v>
      </c>
    </row>
    <row r="61" spans="1:31">
      <c r="B61" s="1" t="s">
        <v>33</v>
      </c>
      <c r="C61" s="1" t="s">
        <v>41</v>
      </c>
      <c r="D61" s="1" t="s">
        <v>38</v>
      </c>
      <c r="E61" s="1" t="s">
        <v>102</v>
      </c>
      <c r="F61" s="1" t="s">
        <v>41</v>
      </c>
      <c r="G61" s="1" t="s">
        <v>38</v>
      </c>
      <c r="H61" s="1" t="s">
        <v>103</v>
      </c>
      <c r="I61" s="1" t="s">
        <v>41</v>
      </c>
      <c r="J61" s="1" t="s">
        <v>105</v>
      </c>
      <c r="K61" s="1" t="s">
        <v>38</v>
      </c>
      <c r="L61" s="1" t="s">
        <v>106</v>
      </c>
      <c r="M61" s="1" t="s">
        <v>41</v>
      </c>
      <c r="N61" s="1" t="s">
        <v>107</v>
      </c>
      <c r="O61" s="1" t="s">
        <v>38</v>
      </c>
      <c r="P61" s="1" t="s">
        <v>108</v>
      </c>
      <c r="Q61" s="1" t="s">
        <v>41</v>
      </c>
      <c r="R61" s="1" t="s">
        <v>109</v>
      </c>
      <c r="S61" s="1" t="s">
        <v>38</v>
      </c>
      <c r="T61" s="1" t="s">
        <v>110</v>
      </c>
      <c r="AE61" s="1" t="s">
        <v>61</v>
      </c>
    </row>
    <row r="62" spans="1:31">
      <c r="B62" s="1" t="s">
        <v>100</v>
      </c>
      <c r="U62" s="1">
        <v>104</v>
      </c>
      <c r="V62" s="1">
        <v>124</v>
      </c>
      <c r="W62" s="1">
        <f t="shared" si="2"/>
        <v>83.870967741935488</v>
      </c>
      <c r="X62" s="1">
        <v>95</v>
      </c>
      <c r="Y62" s="1">
        <v>110</v>
      </c>
      <c r="Z62" s="1">
        <f t="shared" si="0"/>
        <v>86.36363636363636</v>
      </c>
      <c r="AA62" s="1">
        <f>SUM(U62,X62)</f>
        <v>199</v>
      </c>
      <c r="AB62" s="1">
        <v>234</v>
      </c>
      <c r="AC62" s="1">
        <f t="shared" si="1"/>
        <v>85.042735042735046</v>
      </c>
      <c r="AD62" s="1" t="s">
        <v>45</v>
      </c>
      <c r="AE62" s="1" t="s">
        <v>131</v>
      </c>
    </row>
    <row r="63" spans="1:31">
      <c r="B63" s="1" t="s">
        <v>101</v>
      </c>
      <c r="U63" s="1">
        <v>104</v>
      </c>
      <c r="V63" s="1">
        <v>124</v>
      </c>
      <c r="W63" s="1">
        <f t="shared" si="2"/>
        <v>83.870967741935488</v>
      </c>
      <c r="X63" s="1">
        <v>95</v>
      </c>
      <c r="Y63" s="1">
        <v>110</v>
      </c>
      <c r="Z63" s="1">
        <f t="shared" si="0"/>
        <v>86.36363636363636</v>
      </c>
      <c r="AA63" s="1">
        <f>SUM(U63,X63)</f>
        <v>199</v>
      </c>
      <c r="AB63" s="1">
        <v>234</v>
      </c>
      <c r="AC63" s="1">
        <f t="shared" si="1"/>
        <v>85.042735042735046</v>
      </c>
      <c r="AD63" s="1" t="s">
        <v>45</v>
      </c>
      <c r="AE63" s="1" t="s">
        <v>131</v>
      </c>
    </row>
    <row r="64" spans="1:31">
      <c r="B64" s="1" t="s">
        <v>99</v>
      </c>
      <c r="U64" s="1">
        <v>2</v>
      </c>
      <c r="V64" s="1">
        <v>124</v>
      </c>
      <c r="W64" s="1">
        <f t="shared" si="2"/>
        <v>1.6129032258064515</v>
      </c>
      <c r="X64" s="1">
        <v>3</v>
      </c>
      <c r="Y64" s="1">
        <v>110</v>
      </c>
      <c r="Z64" s="1">
        <f t="shared" si="0"/>
        <v>2.7272727272727271</v>
      </c>
      <c r="AA64" s="1">
        <f>SUM(U64,X64)</f>
        <v>5</v>
      </c>
      <c r="AB64" s="1">
        <v>234</v>
      </c>
      <c r="AC64" s="1">
        <f t="shared" si="1"/>
        <v>2.1367521367521367</v>
      </c>
      <c r="AD64" s="1" t="s">
        <v>40</v>
      </c>
      <c r="AE64" s="1" t="s">
        <v>111</v>
      </c>
    </row>
    <row r="66" spans="1:31">
      <c r="A66" s="1" t="s">
        <v>112</v>
      </c>
      <c r="B66" s="1" t="s">
        <v>118</v>
      </c>
      <c r="AE66" s="1" t="s">
        <v>61</v>
      </c>
    </row>
    <row r="67" spans="1:31">
      <c r="B67" s="1" t="s">
        <v>32</v>
      </c>
      <c r="C67" s="1" t="s">
        <v>37</v>
      </c>
      <c r="D67" s="1" t="s">
        <v>40</v>
      </c>
      <c r="E67" s="1" t="s">
        <v>113</v>
      </c>
      <c r="F67" s="1" t="s">
        <v>37</v>
      </c>
      <c r="G67" s="1" t="s">
        <v>40</v>
      </c>
      <c r="H67" s="1" t="s">
        <v>114</v>
      </c>
      <c r="I67" s="1" t="s">
        <v>41</v>
      </c>
      <c r="J67" s="1" t="s">
        <v>115</v>
      </c>
      <c r="K67" s="1" t="s">
        <v>38</v>
      </c>
      <c r="L67" s="1" t="s">
        <v>106</v>
      </c>
      <c r="M67" s="1" t="s">
        <v>41</v>
      </c>
      <c r="N67" s="1" t="s">
        <v>116</v>
      </c>
      <c r="O67" s="1" t="s">
        <v>38</v>
      </c>
      <c r="P67" s="1" t="s">
        <v>108</v>
      </c>
      <c r="Q67" s="1" t="s">
        <v>41</v>
      </c>
      <c r="R67" s="1" t="s">
        <v>117</v>
      </c>
      <c r="S67" s="1" t="s">
        <v>38</v>
      </c>
      <c r="T67" s="1" t="s">
        <v>110</v>
      </c>
      <c r="U67" s="1">
        <v>77</v>
      </c>
      <c r="V67" s="1">
        <v>287</v>
      </c>
      <c r="W67" s="1">
        <f t="shared" si="2"/>
        <v>26.829268292682929</v>
      </c>
      <c r="X67" s="1">
        <v>37</v>
      </c>
      <c r="Y67" s="1">
        <v>146</v>
      </c>
      <c r="Z67" s="1">
        <f t="shared" si="0"/>
        <v>25.342465753424658</v>
      </c>
      <c r="AA67" s="1">
        <f>SUM(U67,X67)</f>
        <v>114</v>
      </c>
      <c r="AB67" s="1">
        <f>SUM(V67, Y67)</f>
        <v>433</v>
      </c>
      <c r="AC67" s="1">
        <f t="shared" si="1"/>
        <v>26.327944572748269</v>
      </c>
      <c r="AD67" s="1" t="s">
        <v>45</v>
      </c>
      <c r="AE67" s="1" t="s">
        <v>131</v>
      </c>
    </row>
    <row r="68" spans="1:31">
      <c r="B68" s="1" t="s">
        <v>63</v>
      </c>
    </row>
    <row r="69" spans="1:31">
      <c r="B69" s="1" t="s">
        <v>33</v>
      </c>
      <c r="C69" s="1" t="s">
        <v>37</v>
      </c>
      <c r="D69" s="1" t="s">
        <v>40</v>
      </c>
      <c r="E69" s="1" t="s">
        <v>113</v>
      </c>
      <c r="F69" s="1" t="s">
        <v>37</v>
      </c>
      <c r="G69" s="1" t="s">
        <v>40</v>
      </c>
      <c r="H69" s="1" t="s">
        <v>114</v>
      </c>
      <c r="I69" s="1" t="s">
        <v>41</v>
      </c>
      <c r="J69" s="1" t="s">
        <v>115</v>
      </c>
      <c r="K69" s="1" t="s">
        <v>38</v>
      </c>
      <c r="L69" s="1" t="s">
        <v>106</v>
      </c>
      <c r="M69" s="1" t="s">
        <v>41</v>
      </c>
      <c r="N69" s="1" t="s">
        <v>116</v>
      </c>
      <c r="O69" s="1" t="s">
        <v>38</v>
      </c>
      <c r="P69" s="1" t="s">
        <v>108</v>
      </c>
      <c r="Q69" s="1" t="s">
        <v>41</v>
      </c>
      <c r="R69" s="1" t="s">
        <v>117</v>
      </c>
      <c r="S69" s="1" t="s">
        <v>38</v>
      </c>
      <c r="T69" s="1" t="s">
        <v>110</v>
      </c>
    </row>
    <row r="70" spans="1:31">
      <c r="B70" s="1" t="s">
        <v>100</v>
      </c>
      <c r="U70" s="1">
        <v>252</v>
      </c>
      <c r="V70" s="1">
        <v>287</v>
      </c>
      <c r="W70" s="1">
        <f t="shared" si="2"/>
        <v>87.804878048780495</v>
      </c>
      <c r="X70" s="1">
        <v>132</v>
      </c>
      <c r="Y70" s="1">
        <v>146</v>
      </c>
      <c r="Z70" s="1">
        <f t="shared" si="0"/>
        <v>90.410958904109577</v>
      </c>
      <c r="AA70" s="1">
        <f>SUM(U70,X70)</f>
        <v>384</v>
      </c>
      <c r="AB70" s="1">
        <f>SUM(V70, Y70)</f>
        <v>433</v>
      </c>
      <c r="AC70" s="1">
        <f t="shared" si="1"/>
        <v>88.683602771362587</v>
      </c>
      <c r="AD70" s="1" t="s">
        <v>45</v>
      </c>
      <c r="AE70" s="1" t="s">
        <v>131</v>
      </c>
    </row>
    <row r="71" spans="1:31">
      <c r="B71" s="1" t="s">
        <v>34</v>
      </c>
      <c r="U71" s="1">
        <v>53</v>
      </c>
      <c r="V71" s="1">
        <v>287</v>
      </c>
      <c r="W71" s="1">
        <f t="shared" ref="W71:W135" si="3">U71/V71*100</f>
        <v>18.466898954703833</v>
      </c>
      <c r="X71" s="1">
        <v>43</v>
      </c>
      <c r="Y71" s="1">
        <v>146</v>
      </c>
      <c r="Z71" s="1">
        <f t="shared" ref="Z71:Z135" si="4">X71/Y71*100</f>
        <v>29.452054794520549</v>
      </c>
      <c r="AA71" s="1">
        <f>SUM(U71,X71)</f>
        <v>96</v>
      </c>
      <c r="AB71" s="1">
        <f>SUM(V71, Y71)</f>
        <v>433</v>
      </c>
      <c r="AC71" s="1">
        <f t="shared" ref="AC71:AC135" si="5">AA71/AB71*100</f>
        <v>22.170900692840647</v>
      </c>
      <c r="AD71" s="1" t="s">
        <v>45</v>
      </c>
      <c r="AE71" s="1" t="s">
        <v>131</v>
      </c>
    </row>
    <row r="73" spans="1:31">
      <c r="A73" s="1" t="s">
        <v>119</v>
      </c>
      <c r="B73" s="1" t="s">
        <v>130</v>
      </c>
    </row>
    <row r="74" spans="1:31">
      <c r="B74" s="1" t="s">
        <v>32</v>
      </c>
      <c r="C74" s="1" t="s">
        <v>37</v>
      </c>
      <c r="D74" s="1" t="s">
        <v>40</v>
      </c>
      <c r="E74" s="1" t="s">
        <v>123</v>
      </c>
      <c r="F74" s="1" t="s">
        <v>41</v>
      </c>
      <c r="G74" s="1" t="s">
        <v>38</v>
      </c>
      <c r="H74" s="1" t="s">
        <v>42</v>
      </c>
      <c r="I74" s="1" t="s">
        <v>37</v>
      </c>
      <c r="J74" s="1" t="s">
        <v>125</v>
      </c>
      <c r="K74" s="1" t="s">
        <v>40</v>
      </c>
      <c r="L74" s="1" t="s">
        <v>124</v>
      </c>
      <c r="M74" s="1" t="s">
        <v>37</v>
      </c>
      <c r="N74" s="1" t="s">
        <v>125</v>
      </c>
      <c r="O74" s="1" t="s">
        <v>40</v>
      </c>
      <c r="P74" s="1" t="s">
        <v>126</v>
      </c>
      <c r="Q74" s="1" t="s">
        <v>37</v>
      </c>
      <c r="R74" s="1" t="s">
        <v>125</v>
      </c>
      <c r="S74" s="1" t="s">
        <v>40</v>
      </c>
      <c r="T74" s="1" t="s">
        <v>127</v>
      </c>
      <c r="AB74" s="1">
        <v>650</v>
      </c>
      <c r="AE74" s="1" t="s">
        <v>61</v>
      </c>
    </row>
    <row r="75" spans="1:31">
      <c r="B75" s="1" t="s">
        <v>73</v>
      </c>
      <c r="U75" s="1">
        <v>77</v>
      </c>
      <c r="V75" s="1">
        <v>436</v>
      </c>
      <c r="W75" s="1">
        <f t="shared" si="3"/>
        <v>17.660550458715598</v>
      </c>
      <c r="X75" s="1">
        <v>44</v>
      </c>
      <c r="Y75" s="1">
        <v>214</v>
      </c>
      <c r="Z75" s="1">
        <f t="shared" si="4"/>
        <v>20.5607476635514</v>
      </c>
      <c r="AA75" s="1">
        <f>SUM(U75,X75)</f>
        <v>121</v>
      </c>
      <c r="AC75" s="1">
        <f>AA75/AB74*100</f>
        <v>18.615384615384613</v>
      </c>
      <c r="AD75" s="1" t="s">
        <v>128</v>
      </c>
      <c r="AE75" s="1" t="s">
        <v>129</v>
      </c>
    </row>
    <row r="76" spans="1:31">
      <c r="B76" s="1" t="s">
        <v>64</v>
      </c>
      <c r="U76" s="1">
        <v>72</v>
      </c>
      <c r="V76" s="1">
        <v>436</v>
      </c>
      <c r="W76" s="1">
        <f t="shared" si="3"/>
        <v>16.513761467889911</v>
      </c>
      <c r="X76" s="1">
        <v>41</v>
      </c>
      <c r="Y76" s="1">
        <v>214</v>
      </c>
      <c r="Z76" s="1">
        <f t="shared" si="4"/>
        <v>19.158878504672895</v>
      </c>
      <c r="AA76" s="1">
        <f>SUM(U76,X76)</f>
        <v>113</v>
      </c>
      <c r="AC76" s="1">
        <f>AA76/AB74*100</f>
        <v>17.384615384615383</v>
      </c>
      <c r="AD76" s="1" t="s">
        <v>128</v>
      </c>
      <c r="AE76" s="1" t="s">
        <v>129</v>
      </c>
    </row>
    <row r="77" spans="1:31">
      <c r="B77" s="1" t="s">
        <v>33</v>
      </c>
      <c r="C77" s="1" t="s">
        <v>37</v>
      </c>
      <c r="D77" s="1" t="s">
        <v>40</v>
      </c>
      <c r="E77" s="1" t="s">
        <v>123</v>
      </c>
      <c r="F77" s="1" t="s">
        <v>41</v>
      </c>
      <c r="G77" s="1" t="s">
        <v>38</v>
      </c>
      <c r="H77" s="1" t="s">
        <v>42</v>
      </c>
      <c r="I77" s="1" t="s">
        <v>37</v>
      </c>
      <c r="J77" s="1" t="s">
        <v>125</v>
      </c>
      <c r="K77" s="1" t="s">
        <v>40</v>
      </c>
      <c r="L77" s="1" t="s">
        <v>124</v>
      </c>
      <c r="M77" s="1" t="s">
        <v>37</v>
      </c>
      <c r="N77" s="1" t="s">
        <v>125</v>
      </c>
      <c r="O77" s="1" t="s">
        <v>40</v>
      </c>
      <c r="P77" s="1" t="s">
        <v>126</v>
      </c>
      <c r="Q77" s="1" t="s">
        <v>37</v>
      </c>
      <c r="R77" s="1" t="s">
        <v>125</v>
      </c>
      <c r="S77" s="1" t="s">
        <v>40</v>
      </c>
      <c r="T77" s="1" t="s">
        <v>127</v>
      </c>
    </row>
    <row r="78" spans="1:31">
      <c r="B78" s="1" t="s">
        <v>120</v>
      </c>
      <c r="U78" s="1">
        <v>105</v>
      </c>
      <c r="V78" s="1">
        <v>436</v>
      </c>
      <c r="W78" s="1">
        <f t="shared" si="3"/>
        <v>24.082568807339449</v>
      </c>
      <c r="X78" s="1">
        <v>58</v>
      </c>
      <c r="Y78" s="1">
        <v>214</v>
      </c>
      <c r="Z78" s="1">
        <f t="shared" si="4"/>
        <v>27.102803738317753</v>
      </c>
      <c r="AA78" s="1">
        <f>SUM(U78,X78)</f>
        <v>163</v>
      </c>
      <c r="AB78" s="1">
        <v>650</v>
      </c>
      <c r="AC78" s="1">
        <f t="shared" si="5"/>
        <v>25.076923076923073</v>
      </c>
      <c r="AD78" s="1" t="s">
        <v>45</v>
      </c>
      <c r="AE78" s="1" t="s">
        <v>131</v>
      </c>
    </row>
    <row r="79" spans="1:31">
      <c r="B79" s="1" t="s">
        <v>121</v>
      </c>
      <c r="U79" s="1">
        <v>60</v>
      </c>
      <c r="V79" s="1">
        <v>161</v>
      </c>
      <c r="W79" s="1">
        <f t="shared" si="3"/>
        <v>37.267080745341616</v>
      </c>
      <c r="X79" s="1">
        <v>28</v>
      </c>
      <c r="Y79" s="1">
        <v>76</v>
      </c>
      <c r="Z79" s="1">
        <f t="shared" si="4"/>
        <v>36.84210526315789</v>
      </c>
      <c r="AA79" s="1">
        <f>SUM(U79,X79)</f>
        <v>88</v>
      </c>
      <c r="AB79" s="1">
        <f>SUM(V79, Y79)</f>
        <v>237</v>
      </c>
      <c r="AC79" s="1">
        <f t="shared" si="5"/>
        <v>37.130801687763714</v>
      </c>
      <c r="AD79" s="1" t="s">
        <v>45</v>
      </c>
      <c r="AE79" s="1" t="s">
        <v>131</v>
      </c>
    </row>
    <row r="80" spans="1:31">
      <c r="B80" s="1" t="s">
        <v>122</v>
      </c>
      <c r="U80" s="1">
        <v>59</v>
      </c>
      <c r="V80" s="1">
        <v>161</v>
      </c>
      <c r="W80" s="1">
        <f t="shared" si="3"/>
        <v>36.645962732919259</v>
      </c>
      <c r="X80" s="1">
        <v>28</v>
      </c>
      <c r="Y80" s="1">
        <v>76</v>
      </c>
      <c r="Z80" s="1">
        <f t="shared" si="4"/>
        <v>36.84210526315789</v>
      </c>
      <c r="AA80" s="1">
        <f>SUM(U80,X80)</f>
        <v>87</v>
      </c>
      <c r="AB80" s="1">
        <v>237</v>
      </c>
      <c r="AC80" s="1">
        <f t="shared" si="5"/>
        <v>36.708860759493675</v>
      </c>
      <c r="AD80" s="1" t="s">
        <v>45</v>
      </c>
      <c r="AE80" s="1" t="s">
        <v>131</v>
      </c>
    </row>
    <row r="81" spans="1:31">
      <c r="B81" s="1" t="s">
        <v>218</v>
      </c>
      <c r="U81" s="1">
        <v>20</v>
      </c>
      <c r="V81" s="1">
        <v>215</v>
      </c>
      <c r="W81" s="1">
        <f t="shared" si="3"/>
        <v>9.3023255813953494</v>
      </c>
      <c r="X81" s="1">
        <v>6</v>
      </c>
      <c r="Y81" s="1">
        <v>98</v>
      </c>
      <c r="Z81" s="1">
        <f t="shared" si="4"/>
        <v>6.1224489795918364</v>
      </c>
      <c r="AA81" s="1">
        <f>SUM(U81,X81)</f>
        <v>26</v>
      </c>
      <c r="AB81" s="1">
        <f>SUM(V81, Y81)</f>
        <v>313</v>
      </c>
      <c r="AC81" s="1">
        <f t="shared" si="5"/>
        <v>8.3067092651757193</v>
      </c>
      <c r="AD81" s="1" t="s">
        <v>40</v>
      </c>
      <c r="AE81" s="1" t="s">
        <v>111</v>
      </c>
    </row>
    <row r="83" spans="1:31">
      <c r="A83" s="1" t="s">
        <v>132</v>
      </c>
      <c r="B83" s="1" t="s">
        <v>142</v>
      </c>
      <c r="AE83" s="1" t="s">
        <v>61</v>
      </c>
    </row>
    <row r="84" spans="1:31">
      <c r="B84" s="1" t="s">
        <v>32</v>
      </c>
      <c r="C84" s="1" t="s">
        <v>37</v>
      </c>
      <c r="D84" s="1" t="s">
        <v>40</v>
      </c>
      <c r="E84" s="1" t="s">
        <v>135</v>
      </c>
      <c r="F84" s="1" t="s">
        <v>41</v>
      </c>
      <c r="G84" s="1" t="s">
        <v>38</v>
      </c>
      <c r="H84" s="1" t="s">
        <v>42</v>
      </c>
      <c r="I84" s="1" t="s">
        <v>37</v>
      </c>
      <c r="J84" s="1" t="s">
        <v>136</v>
      </c>
      <c r="K84" s="1" t="s">
        <v>40</v>
      </c>
      <c r="L84" s="1" t="s">
        <v>137</v>
      </c>
      <c r="M84" s="1" t="s">
        <v>41</v>
      </c>
      <c r="N84" s="1" t="s">
        <v>138</v>
      </c>
      <c r="O84" s="1" t="s">
        <v>38</v>
      </c>
      <c r="P84" s="1" t="s">
        <v>139</v>
      </c>
      <c r="Q84" s="1" t="s">
        <v>41</v>
      </c>
      <c r="R84" s="1" t="s">
        <v>140</v>
      </c>
      <c r="S84" s="1" t="s">
        <v>38</v>
      </c>
      <c r="T84" s="1" t="s">
        <v>141</v>
      </c>
      <c r="U84" s="1">
        <v>24</v>
      </c>
      <c r="V84" s="1">
        <v>610</v>
      </c>
      <c r="W84" s="1">
        <f t="shared" si="3"/>
        <v>3.9344262295081971</v>
      </c>
      <c r="X84" s="1">
        <v>9</v>
      </c>
      <c r="Y84" s="1">
        <v>246</v>
      </c>
      <c r="Z84" s="1">
        <f t="shared" si="4"/>
        <v>3.6585365853658534</v>
      </c>
      <c r="AA84" s="1">
        <f>SUM(U84,X84)</f>
        <v>33</v>
      </c>
      <c r="AB84" s="1">
        <f>SUM(V84,Y84)</f>
        <v>856</v>
      </c>
      <c r="AC84" s="1">
        <f t="shared" si="5"/>
        <v>3.8551401869158877</v>
      </c>
      <c r="AD84" s="1" t="s">
        <v>40</v>
      </c>
      <c r="AE84" s="1" t="s">
        <v>111</v>
      </c>
    </row>
    <row r="85" spans="1:31">
      <c r="B85" s="1" t="s">
        <v>133</v>
      </c>
    </row>
    <row r="86" spans="1:31">
      <c r="B86" s="1" t="s">
        <v>33</v>
      </c>
      <c r="C86" s="1" t="s">
        <v>37</v>
      </c>
      <c r="D86" s="1" t="s">
        <v>40</v>
      </c>
      <c r="E86" s="1" t="s">
        <v>135</v>
      </c>
      <c r="F86" s="1" t="s">
        <v>41</v>
      </c>
      <c r="G86" s="1" t="s">
        <v>38</v>
      </c>
      <c r="H86" s="1" t="s">
        <v>42</v>
      </c>
      <c r="I86" s="1" t="s">
        <v>37</v>
      </c>
      <c r="J86" s="1" t="s">
        <v>136</v>
      </c>
      <c r="K86" s="1" t="s">
        <v>40</v>
      </c>
      <c r="L86" s="1" t="s">
        <v>137</v>
      </c>
      <c r="M86" s="1" t="s">
        <v>41</v>
      </c>
      <c r="N86" s="1" t="s">
        <v>138</v>
      </c>
      <c r="O86" s="1" t="s">
        <v>38</v>
      </c>
      <c r="P86" s="1" t="s">
        <v>139</v>
      </c>
      <c r="Q86" s="1" t="s">
        <v>41</v>
      </c>
      <c r="R86" s="1" t="s">
        <v>140</v>
      </c>
      <c r="S86" s="1" t="s">
        <v>38</v>
      </c>
      <c r="T86" s="1" t="s">
        <v>141</v>
      </c>
    </row>
    <row r="87" spans="1:31">
      <c r="B87" s="1" t="s">
        <v>120</v>
      </c>
      <c r="U87" s="1">
        <v>163</v>
      </c>
      <c r="V87" s="1">
        <v>610</v>
      </c>
      <c r="W87" s="1">
        <f t="shared" si="3"/>
        <v>26.721311475409838</v>
      </c>
      <c r="X87" s="1">
        <v>37</v>
      </c>
      <c r="Y87" s="1">
        <v>246</v>
      </c>
      <c r="Z87" s="1">
        <f t="shared" si="4"/>
        <v>15.040650406504067</v>
      </c>
      <c r="AA87" s="1">
        <f>SUM(U87,X87)</f>
        <v>200</v>
      </c>
      <c r="AB87" s="1">
        <f>SUM(V87,Y87)</f>
        <v>856</v>
      </c>
      <c r="AC87" s="1">
        <f t="shared" si="5"/>
        <v>23.364485981308412</v>
      </c>
      <c r="AD87" s="1" t="s">
        <v>45</v>
      </c>
      <c r="AE87" s="1" t="s">
        <v>131</v>
      </c>
    </row>
    <row r="88" spans="1:31">
      <c r="B88" s="1" t="s">
        <v>121</v>
      </c>
      <c r="U88" s="1">
        <v>6</v>
      </c>
      <c r="V88" s="1">
        <v>27</v>
      </c>
      <c r="W88" s="1">
        <f t="shared" si="3"/>
        <v>22.222222222222221</v>
      </c>
      <c r="X88" s="1">
        <v>5</v>
      </c>
      <c r="Y88" s="1">
        <v>24</v>
      </c>
      <c r="Z88" s="1">
        <f t="shared" si="4"/>
        <v>20.833333333333336</v>
      </c>
      <c r="AA88" s="1">
        <f>SUM(U88,X88)</f>
        <v>11</v>
      </c>
      <c r="AB88" s="1">
        <f>SUM(V88,Y88)</f>
        <v>51</v>
      </c>
      <c r="AC88" s="1">
        <f t="shared" si="5"/>
        <v>21.568627450980394</v>
      </c>
      <c r="AD88" s="1" t="s">
        <v>45</v>
      </c>
      <c r="AE88" s="1" t="s">
        <v>131</v>
      </c>
    </row>
    <row r="89" spans="1:31">
      <c r="B89" s="1" t="s">
        <v>134</v>
      </c>
      <c r="U89" s="1">
        <v>27</v>
      </c>
      <c r="V89" s="1">
        <v>216</v>
      </c>
      <c r="W89" s="1">
        <f t="shared" si="3"/>
        <v>12.5</v>
      </c>
      <c r="X89" s="1">
        <v>11</v>
      </c>
      <c r="Y89" s="1">
        <v>99</v>
      </c>
      <c r="Z89" s="1">
        <f t="shared" si="4"/>
        <v>11.111111111111111</v>
      </c>
      <c r="AA89" s="1">
        <f>SUM(U89,X89)</f>
        <v>38</v>
      </c>
      <c r="AB89" s="1">
        <v>315</v>
      </c>
      <c r="AC89" s="1">
        <f t="shared" si="5"/>
        <v>12.063492063492063</v>
      </c>
      <c r="AD89" s="1" t="s">
        <v>38</v>
      </c>
      <c r="AE89" s="1" t="s">
        <v>213</v>
      </c>
    </row>
    <row r="91" spans="1:31">
      <c r="A91" s="1" t="s">
        <v>143</v>
      </c>
      <c r="B91" s="1" t="s">
        <v>144</v>
      </c>
    </row>
    <row r="92" spans="1:31">
      <c r="B92" s="1" t="s">
        <v>32</v>
      </c>
      <c r="C92" s="1" t="s">
        <v>41</v>
      </c>
      <c r="D92" s="1" t="s">
        <v>38</v>
      </c>
      <c r="E92" s="1" t="s">
        <v>150</v>
      </c>
      <c r="F92" s="1" t="s">
        <v>41</v>
      </c>
      <c r="G92" s="1" t="s">
        <v>38</v>
      </c>
      <c r="H92" s="1" t="s">
        <v>42</v>
      </c>
      <c r="I92" s="1" t="s">
        <v>37</v>
      </c>
      <c r="J92" s="1" t="s">
        <v>151</v>
      </c>
      <c r="K92" s="1" t="s">
        <v>40</v>
      </c>
      <c r="L92" s="1" t="s">
        <v>152</v>
      </c>
      <c r="M92" s="1" t="s">
        <v>41</v>
      </c>
      <c r="N92" s="1" t="s">
        <v>153</v>
      </c>
      <c r="O92" s="1" t="s">
        <v>38</v>
      </c>
      <c r="P92" s="1" t="s">
        <v>155</v>
      </c>
      <c r="Q92" s="1" t="s">
        <v>41</v>
      </c>
      <c r="R92" s="1" t="s">
        <v>154</v>
      </c>
      <c r="S92" s="1" t="s">
        <v>38</v>
      </c>
      <c r="T92" s="1" t="s">
        <v>141</v>
      </c>
      <c r="V92" s="1">
        <v>997</v>
      </c>
      <c r="W92" s="1">
        <f t="shared" si="3"/>
        <v>0</v>
      </c>
      <c r="Y92" s="1">
        <v>962</v>
      </c>
      <c r="Z92" s="1">
        <f t="shared" si="4"/>
        <v>0</v>
      </c>
      <c r="AB92" s="1">
        <f>SUM(V92,Y92)</f>
        <v>1959</v>
      </c>
      <c r="AE92" s="1" t="s">
        <v>61</v>
      </c>
    </row>
    <row r="93" spans="1:31">
      <c r="B93" s="1" t="s">
        <v>73</v>
      </c>
      <c r="U93" s="1">
        <v>9</v>
      </c>
      <c r="W93" s="1">
        <f>U93/V92*100</f>
        <v>0.90270812437311942</v>
      </c>
      <c r="X93" s="1">
        <v>7</v>
      </c>
      <c r="Z93" s="1">
        <f>X93/Y92*100</f>
        <v>0.72765072765072769</v>
      </c>
      <c r="AA93" s="1">
        <f>SUM(U93,X93)</f>
        <v>16</v>
      </c>
      <c r="AC93" s="1">
        <f>AA93/AB92*100</f>
        <v>0.81674323634507406</v>
      </c>
      <c r="AD93" s="1" t="s">
        <v>40</v>
      </c>
      <c r="AE93" s="1" t="s">
        <v>111</v>
      </c>
    </row>
    <row r="94" spans="1:31">
      <c r="B94" s="1" t="s">
        <v>64</v>
      </c>
      <c r="U94" s="1">
        <v>9</v>
      </c>
      <c r="W94" s="1">
        <f>U94/V92*100</f>
        <v>0.90270812437311942</v>
      </c>
      <c r="X94" s="1">
        <v>7</v>
      </c>
      <c r="Z94" s="1">
        <f>X94/Y92*100</f>
        <v>0.72765072765072769</v>
      </c>
      <c r="AA94" s="1">
        <f>SUM(U94,X94)</f>
        <v>16</v>
      </c>
      <c r="AC94" s="1">
        <f>AA94/AB92*100</f>
        <v>0.81674323634507406</v>
      </c>
      <c r="AD94" s="1" t="s">
        <v>40</v>
      </c>
      <c r="AE94" s="1" t="s">
        <v>111</v>
      </c>
    </row>
    <row r="95" spans="1:31">
      <c r="B95" s="1" t="s">
        <v>33</v>
      </c>
      <c r="C95" s="1" t="s">
        <v>41</v>
      </c>
      <c r="D95" s="1" t="s">
        <v>38</v>
      </c>
      <c r="E95" s="1" t="s">
        <v>150</v>
      </c>
      <c r="F95" s="1" t="s">
        <v>41</v>
      </c>
      <c r="G95" s="1" t="s">
        <v>38</v>
      </c>
      <c r="H95" s="1" t="s">
        <v>42</v>
      </c>
      <c r="I95" s="1" t="s">
        <v>37</v>
      </c>
      <c r="J95" s="1" t="s">
        <v>151</v>
      </c>
      <c r="K95" s="1" t="s">
        <v>40</v>
      </c>
      <c r="L95" s="1" t="s">
        <v>152</v>
      </c>
      <c r="M95" s="1" t="s">
        <v>41</v>
      </c>
      <c r="N95" s="1" t="s">
        <v>153</v>
      </c>
      <c r="O95" s="1" t="s">
        <v>38</v>
      </c>
      <c r="P95" s="1" t="s">
        <v>155</v>
      </c>
      <c r="Q95" s="1" t="s">
        <v>41</v>
      </c>
      <c r="R95" s="1" t="s">
        <v>154</v>
      </c>
      <c r="S95" s="1" t="s">
        <v>38</v>
      </c>
      <c r="T95" s="1" t="s">
        <v>141</v>
      </c>
    </row>
    <row r="96" spans="1:31">
      <c r="B96" s="1" t="s">
        <v>145</v>
      </c>
      <c r="U96" s="1">
        <v>301</v>
      </c>
      <c r="V96" s="1">
        <v>997</v>
      </c>
      <c r="W96" s="1">
        <f t="shared" si="3"/>
        <v>30.190571715145438</v>
      </c>
      <c r="X96" s="1">
        <v>234</v>
      </c>
      <c r="Y96" s="1">
        <v>962</v>
      </c>
      <c r="Z96" s="1">
        <f t="shared" si="4"/>
        <v>24.324324324324326</v>
      </c>
      <c r="AA96" s="1">
        <v>535</v>
      </c>
      <c r="AB96" s="1">
        <f t="shared" ref="AB96:AB103" si="6">SUM(V96,Y96)</f>
        <v>1959</v>
      </c>
      <c r="AC96" s="1">
        <f t="shared" si="5"/>
        <v>27.309851965288413</v>
      </c>
      <c r="AD96" s="1" t="s">
        <v>45</v>
      </c>
      <c r="AE96" s="1" t="s">
        <v>131</v>
      </c>
    </row>
    <row r="97" spans="1:31">
      <c r="B97" s="1" t="s">
        <v>165</v>
      </c>
      <c r="U97" s="1">
        <v>300</v>
      </c>
      <c r="V97" s="1">
        <v>997</v>
      </c>
      <c r="W97" s="1">
        <f t="shared" si="3"/>
        <v>30.090270812437314</v>
      </c>
      <c r="X97" s="1">
        <v>233</v>
      </c>
      <c r="Y97" s="1">
        <v>962</v>
      </c>
      <c r="Z97" s="1">
        <f t="shared" si="4"/>
        <v>24.220374220374222</v>
      </c>
      <c r="AA97" s="1">
        <v>533</v>
      </c>
      <c r="AB97" s="1">
        <f t="shared" si="6"/>
        <v>1959</v>
      </c>
      <c r="AC97" s="1">
        <f t="shared" si="5"/>
        <v>27.207759060745278</v>
      </c>
      <c r="AD97" s="1" t="s">
        <v>45</v>
      </c>
      <c r="AE97" s="1" t="s">
        <v>131</v>
      </c>
    </row>
    <row r="98" spans="1:31">
      <c r="B98" s="1" t="s">
        <v>99</v>
      </c>
      <c r="U98" s="1">
        <v>378</v>
      </c>
      <c r="V98" s="1">
        <v>997</v>
      </c>
      <c r="W98" s="1">
        <f t="shared" si="3"/>
        <v>37.913741223671011</v>
      </c>
      <c r="X98" s="1">
        <v>292</v>
      </c>
      <c r="Y98" s="1">
        <v>962</v>
      </c>
      <c r="Z98" s="1">
        <f t="shared" si="4"/>
        <v>30.353430353430355</v>
      </c>
      <c r="AA98" s="1">
        <f t="shared" ref="AA98:AA103" si="7">SUM(U98,X98)</f>
        <v>670</v>
      </c>
      <c r="AB98" s="1">
        <f t="shared" si="6"/>
        <v>1959</v>
      </c>
      <c r="AC98" s="1">
        <f t="shared" si="5"/>
        <v>34.201123021949975</v>
      </c>
      <c r="AD98" s="1" t="s">
        <v>45</v>
      </c>
      <c r="AE98" s="1" t="s">
        <v>131</v>
      </c>
    </row>
    <row r="99" spans="1:31">
      <c r="B99" s="1" t="s">
        <v>146</v>
      </c>
      <c r="U99" s="1">
        <v>122</v>
      </c>
      <c r="V99" s="1">
        <v>284</v>
      </c>
      <c r="W99" s="1">
        <f t="shared" si="3"/>
        <v>42.95774647887324</v>
      </c>
      <c r="X99" s="1">
        <v>107</v>
      </c>
      <c r="Y99" s="1">
        <v>260</v>
      </c>
      <c r="Z99" s="1">
        <f t="shared" si="4"/>
        <v>41.153846153846153</v>
      </c>
      <c r="AA99" s="1">
        <f t="shared" si="7"/>
        <v>229</v>
      </c>
      <c r="AB99" s="1">
        <f t="shared" si="6"/>
        <v>544</v>
      </c>
      <c r="AC99" s="1">
        <f t="shared" si="5"/>
        <v>42.095588235294116</v>
      </c>
      <c r="AD99" s="1" t="s">
        <v>45</v>
      </c>
      <c r="AE99" s="1" t="s">
        <v>131</v>
      </c>
    </row>
    <row r="100" spans="1:31">
      <c r="B100" s="1" t="s">
        <v>147</v>
      </c>
      <c r="U100" s="1">
        <v>123</v>
      </c>
      <c r="V100" s="1">
        <v>284</v>
      </c>
      <c r="W100" s="1">
        <f t="shared" si="3"/>
        <v>43.309859154929576</v>
      </c>
      <c r="X100" s="1">
        <v>106</v>
      </c>
      <c r="Y100" s="1">
        <v>260</v>
      </c>
      <c r="Z100" s="1">
        <f t="shared" si="4"/>
        <v>40.769230769230766</v>
      </c>
      <c r="AA100" s="1">
        <f t="shared" si="7"/>
        <v>229</v>
      </c>
      <c r="AB100" s="1">
        <f t="shared" si="6"/>
        <v>544</v>
      </c>
      <c r="AC100" s="1">
        <f t="shared" si="5"/>
        <v>42.095588235294116</v>
      </c>
      <c r="AD100" s="1" t="s">
        <v>45</v>
      </c>
      <c r="AE100" s="1" t="s">
        <v>131</v>
      </c>
    </row>
    <row r="101" spans="1:31">
      <c r="B101" s="1" t="s">
        <v>148</v>
      </c>
      <c r="U101" s="1">
        <v>125</v>
      </c>
      <c r="V101" s="1">
        <v>284</v>
      </c>
      <c r="W101" s="1">
        <f t="shared" si="3"/>
        <v>44.014084507042256</v>
      </c>
      <c r="X101" s="1">
        <v>105</v>
      </c>
      <c r="Y101" s="1">
        <v>260</v>
      </c>
      <c r="Z101" s="1">
        <f t="shared" si="4"/>
        <v>40.384615384615387</v>
      </c>
      <c r="AA101" s="1">
        <f t="shared" si="7"/>
        <v>230</v>
      </c>
      <c r="AB101" s="1">
        <f t="shared" si="6"/>
        <v>544</v>
      </c>
      <c r="AC101" s="1">
        <f t="shared" si="5"/>
        <v>42.279411764705884</v>
      </c>
      <c r="AD101" s="1" t="s">
        <v>45</v>
      </c>
      <c r="AE101" s="1" t="s">
        <v>131</v>
      </c>
    </row>
    <row r="102" spans="1:31">
      <c r="B102" s="1" t="s">
        <v>149</v>
      </c>
      <c r="U102" s="1">
        <v>25</v>
      </c>
      <c r="V102" s="1">
        <v>284</v>
      </c>
      <c r="W102" s="1">
        <f t="shared" si="3"/>
        <v>8.8028169014084501</v>
      </c>
      <c r="X102" s="1">
        <v>22</v>
      </c>
      <c r="Y102" s="1">
        <v>114</v>
      </c>
      <c r="Z102" s="1">
        <f t="shared" si="4"/>
        <v>19.298245614035086</v>
      </c>
      <c r="AA102" s="1">
        <f t="shared" si="7"/>
        <v>47</v>
      </c>
      <c r="AB102" s="1">
        <f t="shared" si="6"/>
        <v>398</v>
      </c>
      <c r="AC102" s="1">
        <f t="shared" si="5"/>
        <v>11.809045226130653</v>
      </c>
      <c r="AD102" s="1" t="s">
        <v>38</v>
      </c>
      <c r="AE102" s="1" t="s">
        <v>213</v>
      </c>
    </row>
    <row r="103" spans="1:31">
      <c r="B103" s="1" t="s">
        <v>215</v>
      </c>
      <c r="U103" s="1">
        <v>61</v>
      </c>
      <c r="V103" s="1">
        <v>109</v>
      </c>
      <c r="W103" s="1">
        <f t="shared" si="3"/>
        <v>55.963302752293572</v>
      </c>
      <c r="X103" s="1">
        <v>63</v>
      </c>
      <c r="Y103" s="1">
        <v>92</v>
      </c>
      <c r="Z103" s="1">
        <f t="shared" si="4"/>
        <v>68.478260869565219</v>
      </c>
      <c r="AA103" s="1">
        <f t="shared" si="7"/>
        <v>124</v>
      </c>
      <c r="AB103" s="1">
        <f t="shared" si="6"/>
        <v>201</v>
      </c>
      <c r="AC103" s="1">
        <f t="shared" si="5"/>
        <v>61.691542288557208</v>
      </c>
      <c r="AD103" s="1" t="s">
        <v>45</v>
      </c>
      <c r="AE103" s="1" t="s">
        <v>131</v>
      </c>
    </row>
    <row r="105" spans="1:31">
      <c r="A105" s="1" t="s">
        <v>156</v>
      </c>
      <c r="B105" s="1" t="s">
        <v>157</v>
      </c>
      <c r="AE105" s="1" t="s">
        <v>61</v>
      </c>
    </row>
    <row r="106" spans="1:31">
      <c r="B106" s="1" t="s">
        <v>32</v>
      </c>
      <c r="C106" s="1" t="s">
        <v>41</v>
      </c>
      <c r="D106" s="1" t="s">
        <v>38</v>
      </c>
      <c r="E106" s="1" t="s">
        <v>150</v>
      </c>
      <c r="F106" s="1" t="s">
        <v>41</v>
      </c>
      <c r="G106" s="1" t="s">
        <v>38</v>
      </c>
      <c r="H106" s="1" t="s">
        <v>42</v>
      </c>
      <c r="I106" s="1" t="s">
        <v>37</v>
      </c>
      <c r="J106" s="1" t="s">
        <v>158</v>
      </c>
      <c r="K106" s="1" t="s">
        <v>37</v>
      </c>
      <c r="L106" s="1" t="s">
        <v>159</v>
      </c>
      <c r="M106" s="1" t="s">
        <v>37</v>
      </c>
      <c r="N106" s="1" t="s">
        <v>158</v>
      </c>
      <c r="O106" s="1" t="s">
        <v>40</v>
      </c>
      <c r="P106" s="1" t="s">
        <v>160</v>
      </c>
      <c r="Q106" s="1" t="s">
        <v>37</v>
      </c>
      <c r="R106" s="1" t="s">
        <v>161</v>
      </c>
      <c r="S106" s="1" t="s">
        <v>40</v>
      </c>
      <c r="T106" s="1" t="s">
        <v>162</v>
      </c>
      <c r="V106" s="1">
        <v>2192</v>
      </c>
      <c r="W106" s="1">
        <f t="shared" si="3"/>
        <v>0</v>
      </c>
      <c r="X106" s="1">
        <v>1093</v>
      </c>
      <c r="AA106" s="1">
        <v>1532</v>
      </c>
      <c r="AB106" s="1">
        <f>SUM(V106,X106)</f>
        <v>3285</v>
      </c>
      <c r="AC106" s="1">
        <f t="shared" si="5"/>
        <v>46.636225266362253</v>
      </c>
      <c r="AD106" s="1" t="s">
        <v>45</v>
      </c>
      <c r="AE106" s="1" t="s">
        <v>131</v>
      </c>
    </row>
    <row r="107" spans="1:31">
      <c r="B107" s="1" t="s">
        <v>73</v>
      </c>
    </row>
    <row r="108" spans="1:31">
      <c r="B108" s="1" t="s">
        <v>64</v>
      </c>
    </row>
    <row r="109" spans="1:31">
      <c r="B109" s="1" t="s">
        <v>33</v>
      </c>
      <c r="C109" s="1" t="s">
        <v>41</v>
      </c>
      <c r="D109" s="1" t="s">
        <v>38</v>
      </c>
      <c r="E109" s="1" t="s">
        <v>150</v>
      </c>
      <c r="F109" s="1" t="s">
        <v>41</v>
      </c>
      <c r="G109" s="1" t="s">
        <v>38</v>
      </c>
      <c r="H109" s="1" t="s">
        <v>42</v>
      </c>
      <c r="I109" s="1" t="s">
        <v>37</v>
      </c>
      <c r="J109" s="1" t="s">
        <v>158</v>
      </c>
      <c r="K109" s="1" t="s">
        <v>37</v>
      </c>
      <c r="L109" s="1" t="s">
        <v>159</v>
      </c>
      <c r="M109" s="1" t="s">
        <v>37</v>
      </c>
      <c r="N109" s="1" t="s">
        <v>158</v>
      </c>
      <c r="O109" s="1" t="s">
        <v>40</v>
      </c>
      <c r="P109" s="1" t="s">
        <v>160</v>
      </c>
      <c r="Q109" s="1" t="s">
        <v>37</v>
      </c>
      <c r="R109" s="1" t="s">
        <v>161</v>
      </c>
      <c r="S109" s="1" t="s">
        <v>40</v>
      </c>
      <c r="T109" s="1" t="s">
        <v>162</v>
      </c>
    </row>
    <row r="110" spans="1:31">
      <c r="B110" s="1" t="s">
        <v>216</v>
      </c>
      <c r="U110" s="1">
        <v>0</v>
      </c>
      <c r="V110" s="1">
        <v>26</v>
      </c>
      <c r="W110" s="1">
        <f t="shared" si="3"/>
        <v>0</v>
      </c>
      <c r="X110" s="1">
        <v>0</v>
      </c>
      <c r="Y110" s="1">
        <v>11</v>
      </c>
      <c r="Z110" s="1">
        <f t="shared" si="4"/>
        <v>0</v>
      </c>
      <c r="AA110" s="1">
        <v>0</v>
      </c>
      <c r="AB110" s="1">
        <f>SUM(V110,Y110)</f>
        <v>37</v>
      </c>
      <c r="AC110" s="1">
        <f t="shared" si="5"/>
        <v>0</v>
      </c>
      <c r="AD110" s="1" t="s">
        <v>40</v>
      </c>
      <c r="AE110" s="1" t="s">
        <v>111</v>
      </c>
    </row>
    <row r="111" spans="1:31">
      <c r="B111" s="1" t="s">
        <v>217</v>
      </c>
      <c r="U111" s="1">
        <v>189</v>
      </c>
      <c r="V111" s="1">
        <v>648</v>
      </c>
      <c r="W111" s="1">
        <f t="shared" si="3"/>
        <v>29.166666666666668</v>
      </c>
      <c r="X111" s="1">
        <v>146</v>
      </c>
      <c r="Y111" s="1">
        <v>363</v>
      </c>
      <c r="Z111" s="1">
        <f t="shared" si="4"/>
        <v>40.22038567493113</v>
      </c>
      <c r="AA111" s="1">
        <f>SUM(U111,X111)</f>
        <v>335</v>
      </c>
      <c r="AB111" s="1">
        <f>SUM(V111,Y111)</f>
        <v>1011</v>
      </c>
      <c r="AC111" s="1">
        <f t="shared" si="5"/>
        <v>33.135509396636991</v>
      </c>
      <c r="AD111" s="1" t="s">
        <v>45</v>
      </c>
      <c r="AE111" s="1" t="s">
        <v>131</v>
      </c>
    </row>
    <row r="112" spans="1:31">
      <c r="B112" s="1" t="s">
        <v>35</v>
      </c>
      <c r="U112" s="1">
        <v>2</v>
      </c>
      <c r="V112" s="1">
        <v>88</v>
      </c>
      <c r="W112" s="1">
        <f t="shared" si="3"/>
        <v>2.2727272727272729</v>
      </c>
      <c r="X112" s="1">
        <v>0</v>
      </c>
      <c r="Y112" s="1">
        <v>43</v>
      </c>
      <c r="Z112" s="1">
        <f t="shared" si="4"/>
        <v>0</v>
      </c>
      <c r="AA112" s="1">
        <v>2</v>
      </c>
      <c r="AB112" s="1">
        <f>SUM(V112,Y112)</f>
        <v>131</v>
      </c>
      <c r="AC112" s="1">
        <f t="shared" si="5"/>
        <v>1.5267175572519083</v>
      </c>
      <c r="AD112" s="1" t="s">
        <v>40</v>
      </c>
      <c r="AE112" s="1" t="s">
        <v>111</v>
      </c>
    </row>
    <row r="113" spans="1:31">
      <c r="B113" s="1" t="s">
        <v>148</v>
      </c>
      <c r="U113" s="1">
        <v>1107</v>
      </c>
      <c r="V113" s="1">
        <v>1195</v>
      </c>
      <c r="W113" s="1">
        <f t="shared" si="3"/>
        <v>92.635983263598334</v>
      </c>
      <c r="X113" s="1">
        <v>577</v>
      </c>
      <c r="Y113" s="1">
        <v>620</v>
      </c>
      <c r="Z113" s="1">
        <f t="shared" si="4"/>
        <v>93.064516129032256</v>
      </c>
      <c r="AA113" s="1">
        <f>SUM(U113,X113)</f>
        <v>1684</v>
      </c>
      <c r="AB113" s="1">
        <f>SUM(V113,Y113)</f>
        <v>1815</v>
      </c>
      <c r="AC113" s="1">
        <f>AA113/AB113*100</f>
        <v>92.782369146005507</v>
      </c>
      <c r="AD113" s="1" t="s">
        <v>45</v>
      </c>
      <c r="AE113" s="1" t="s">
        <v>131</v>
      </c>
    </row>
    <row r="114" spans="1:31">
      <c r="B114" s="1" t="s">
        <v>219</v>
      </c>
      <c r="U114" s="1">
        <v>736</v>
      </c>
      <c r="V114" s="1">
        <v>1195</v>
      </c>
      <c r="W114" s="1">
        <f t="shared" si="3"/>
        <v>61.589958158995813</v>
      </c>
      <c r="X114" s="1">
        <v>403</v>
      </c>
      <c r="Y114" s="1">
        <v>620</v>
      </c>
      <c r="Z114" s="1">
        <f t="shared" si="4"/>
        <v>65</v>
      </c>
      <c r="AA114" s="1">
        <f>SUM(U114,X114)</f>
        <v>1139</v>
      </c>
      <c r="AB114" s="1">
        <f>SUM(V114,Y114)</f>
        <v>1815</v>
      </c>
      <c r="AC114" s="1">
        <f>AA114/AB114*100</f>
        <v>62.754820936639121</v>
      </c>
      <c r="AD114" s="1" t="s">
        <v>45</v>
      </c>
      <c r="AE114" s="1" t="s">
        <v>131</v>
      </c>
    </row>
    <row r="116" spans="1:31">
      <c r="A116" s="1" t="s">
        <v>163</v>
      </c>
      <c r="B116" s="1" t="s">
        <v>164</v>
      </c>
      <c r="AE116" s="1" t="s">
        <v>61</v>
      </c>
    </row>
    <row r="117" spans="1:31">
      <c r="B117" s="1" t="s">
        <v>32</v>
      </c>
      <c r="C117" s="1" t="s">
        <v>41</v>
      </c>
      <c r="D117" s="1" t="s">
        <v>38</v>
      </c>
      <c r="E117" s="1" t="s">
        <v>150</v>
      </c>
      <c r="F117" s="1" t="s">
        <v>41</v>
      </c>
      <c r="G117" s="1" t="s">
        <v>38</v>
      </c>
      <c r="H117" s="1" t="s">
        <v>42</v>
      </c>
      <c r="I117" s="1" t="s">
        <v>41</v>
      </c>
      <c r="J117" s="1" t="s">
        <v>171</v>
      </c>
      <c r="K117" s="1" t="s">
        <v>38</v>
      </c>
      <c r="L117" s="1" t="s">
        <v>106</v>
      </c>
      <c r="M117" s="1" t="s">
        <v>41</v>
      </c>
      <c r="N117" s="1" t="s">
        <v>172</v>
      </c>
      <c r="O117" s="1" t="s">
        <v>38</v>
      </c>
      <c r="P117" s="1" t="s">
        <v>108</v>
      </c>
      <c r="Q117" s="1" t="s">
        <v>41</v>
      </c>
      <c r="R117" s="1" t="s">
        <v>173</v>
      </c>
      <c r="S117" s="1" t="s">
        <v>38</v>
      </c>
      <c r="T117" s="1" t="s">
        <v>174</v>
      </c>
      <c r="U117" s="1">
        <v>251</v>
      </c>
      <c r="V117" s="1">
        <f>SUM(506,521)</f>
        <v>1027</v>
      </c>
      <c r="W117" s="1">
        <f t="shared" si="3"/>
        <v>24.440116845180139</v>
      </c>
      <c r="X117" s="1">
        <v>255</v>
      </c>
      <c r="Y117" s="1">
        <f>SUM(506,519)</f>
        <v>1025</v>
      </c>
      <c r="Z117" s="1">
        <f t="shared" si="4"/>
        <v>24.878048780487806</v>
      </c>
      <c r="AA117" s="1">
        <f>SUM(U117,X117)</f>
        <v>506</v>
      </c>
      <c r="AB117" s="1">
        <f>SUM(V117,Y117)</f>
        <v>2052</v>
      </c>
      <c r="AC117" s="1">
        <f t="shared" si="5"/>
        <v>24.658869395711498</v>
      </c>
      <c r="AD117" s="1" t="s">
        <v>45</v>
      </c>
      <c r="AE117" s="1" t="s">
        <v>131</v>
      </c>
    </row>
    <row r="118" spans="1:31">
      <c r="B118" s="1" t="s">
        <v>133</v>
      </c>
    </row>
    <row r="119" spans="1:31">
      <c r="B119" s="1" t="s">
        <v>64</v>
      </c>
    </row>
    <row r="120" spans="1:31">
      <c r="B120" s="1" t="s">
        <v>33</v>
      </c>
      <c r="C120" s="1" t="s">
        <v>41</v>
      </c>
      <c r="D120" s="1" t="s">
        <v>38</v>
      </c>
      <c r="E120" s="1" t="s">
        <v>150</v>
      </c>
      <c r="F120" s="1" t="s">
        <v>41</v>
      </c>
      <c r="G120" s="1" t="s">
        <v>38</v>
      </c>
      <c r="H120" s="1" t="s">
        <v>42</v>
      </c>
      <c r="I120" s="1" t="s">
        <v>41</v>
      </c>
      <c r="J120" s="1" t="s">
        <v>171</v>
      </c>
      <c r="K120" s="1" t="s">
        <v>38</v>
      </c>
      <c r="L120" s="1" t="s">
        <v>106</v>
      </c>
      <c r="M120" s="1" t="s">
        <v>41</v>
      </c>
      <c r="N120" s="1" t="s">
        <v>172</v>
      </c>
      <c r="O120" s="1" t="s">
        <v>38</v>
      </c>
      <c r="P120" s="1" t="s">
        <v>108</v>
      </c>
      <c r="Q120" s="1" t="s">
        <v>41</v>
      </c>
      <c r="R120" s="1" t="s">
        <v>173</v>
      </c>
      <c r="S120" s="1" t="s">
        <v>38</v>
      </c>
      <c r="T120" s="1" t="s">
        <v>174</v>
      </c>
    </row>
    <row r="121" spans="1:31">
      <c r="B121" s="1" t="s">
        <v>100</v>
      </c>
      <c r="U121" s="1">
        <v>0</v>
      </c>
      <c r="V121" s="1">
        <f>SUM(20,44)</f>
        <v>64</v>
      </c>
      <c r="W121" s="1">
        <f t="shared" si="3"/>
        <v>0</v>
      </c>
      <c r="X121" s="1">
        <v>0</v>
      </c>
      <c r="Y121" s="1">
        <f>SUM(25,32)</f>
        <v>57</v>
      </c>
      <c r="Z121" s="1">
        <f t="shared" si="4"/>
        <v>0</v>
      </c>
      <c r="AA121" s="1">
        <v>0</v>
      </c>
      <c r="AB121" s="1">
        <f>SUM(V121,Y121)</f>
        <v>121</v>
      </c>
      <c r="AC121" s="1">
        <f t="shared" si="5"/>
        <v>0</v>
      </c>
      <c r="AD121" s="1" t="s">
        <v>40</v>
      </c>
      <c r="AE121" s="1" t="s">
        <v>111</v>
      </c>
    </row>
    <row r="122" spans="1:31">
      <c r="B122" s="1" t="s">
        <v>166</v>
      </c>
      <c r="U122" s="1">
        <v>0</v>
      </c>
      <c r="V122" s="1">
        <f>SUM(20,44)</f>
        <v>64</v>
      </c>
      <c r="W122" s="1">
        <f t="shared" si="3"/>
        <v>0</v>
      </c>
      <c r="X122" s="1">
        <v>0</v>
      </c>
      <c r="Y122" s="1">
        <f>SUM(25,32)</f>
        <v>57</v>
      </c>
      <c r="Z122" s="1">
        <f t="shared" si="4"/>
        <v>0</v>
      </c>
      <c r="AA122" s="1">
        <v>0</v>
      </c>
      <c r="AB122" s="1">
        <f>SUM(V122,Y122)</f>
        <v>121</v>
      </c>
      <c r="AC122" s="1">
        <f t="shared" si="5"/>
        <v>0</v>
      </c>
      <c r="AD122" s="1" t="s">
        <v>40</v>
      </c>
      <c r="AE122" s="1" t="s">
        <v>111</v>
      </c>
    </row>
    <row r="123" spans="1:31">
      <c r="B123" s="1" t="s">
        <v>167</v>
      </c>
      <c r="U123" s="1">
        <v>251</v>
      </c>
      <c r="V123" s="1">
        <f t="shared" ref="V123:V125" si="8">SUM(506,521)</f>
        <v>1027</v>
      </c>
      <c r="W123" s="1">
        <f t="shared" si="3"/>
        <v>24.440116845180139</v>
      </c>
      <c r="X123" s="1">
        <v>255</v>
      </c>
      <c r="Y123" s="1">
        <f t="shared" ref="Y123:Y125" si="9">SUM(506,519)</f>
        <v>1025</v>
      </c>
      <c r="Z123" s="1">
        <f t="shared" si="4"/>
        <v>24.878048780487806</v>
      </c>
      <c r="AA123" s="1">
        <f t="shared" ref="AA123:AA125" si="10">SUM(U123,X123)</f>
        <v>506</v>
      </c>
      <c r="AB123" s="1">
        <f t="shared" ref="AB123:AB125" si="11">SUM(V123,Y123)</f>
        <v>2052</v>
      </c>
      <c r="AC123" s="1">
        <f t="shared" si="5"/>
        <v>24.658869395711498</v>
      </c>
      <c r="AD123" s="1" t="s">
        <v>45</v>
      </c>
      <c r="AE123" s="1" t="s">
        <v>131</v>
      </c>
    </row>
    <row r="124" spans="1:31">
      <c r="B124" s="1" t="s">
        <v>168</v>
      </c>
      <c r="U124" s="1">
        <v>251</v>
      </c>
      <c r="V124" s="1">
        <f t="shared" si="8"/>
        <v>1027</v>
      </c>
      <c r="W124" s="1">
        <f t="shared" si="3"/>
        <v>24.440116845180139</v>
      </c>
      <c r="X124" s="1">
        <v>255</v>
      </c>
      <c r="Y124" s="1">
        <f t="shared" si="9"/>
        <v>1025</v>
      </c>
      <c r="Z124" s="1">
        <f t="shared" si="4"/>
        <v>24.878048780487806</v>
      </c>
      <c r="AA124" s="1">
        <f t="shared" si="10"/>
        <v>506</v>
      </c>
      <c r="AB124" s="1">
        <f t="shared" si="11"/>
        <v>2052</v>
      </c>
      <c r="AC124" s="1">
        <f t="shared" si="5"/>
        <v>24.658869395711498</v>
      </c>
      <c r="AD124" s="1" t="s">
        <v>45</v>
      </c>
      <c r="AE124" s="1" t="s">
        <v>131</v>
      </c>
    </row>
    <row r="125" spans="1:31">
      <c r="B125" s="1" t="s">
        <v>169</v>
      </c>
      <c r="U125" s="1">
        <v>251</v>
      </c>
      <c r="V125" s="1">
        <f t="shared" si="8"/>
        <v>1027</v>
      </c>
      <c r="W125" s="1">
        <f t="shared" si="3"/>
        <v>24.440116845180139</v>
      </c>
      <c r="X125" s="1">
        <v>255</v>
      </c>
      <c r="Y125" s="1">
        <f t="shared" si="9"/>
        <v>1025</v>
      </c>
      <c r="Z125" s="1">
        <f t="shared" si="4"/>
        <v>24.878048780487806</v>
      </c>
      <c r="AA125" s="1">
        <f t="shared" si="10"/>
        <v>506</v>
      </c>
      <c r="AB125" s="1">
        <f t="shared" si="11"/>
        <v>2052</v>
      </c>
      <c r="AC125" s="1">
        <f t="shared" si="5"/>
        <v>24.658869395711498</v>
      </c>
      <c r="AD125" s="1" t="s">
        <v>45</v>
      </c>
      <c r="AE125" s="1" t="s">
        <v>131</v>
      </c>
    </row>
    <row r="126" spans="1:31">
      <c r="B126" s="1" t="s">
        <v>170</v>
      </c>
      <c r="U126" s="1">
        <v>0</v>
      </c>
      <c r="X126" s="1">
        <v>0</v>
      </c>
      <c r="AA126" s="1">
        <v>0</v>
      </c>
      <c r="AB126" s="1">
        <f>SUM(169,97)</f>
        <v>266</v>
      </c>
      <c r="AC126" s="1">
        <f t="shared" si="5"/>
        <v>0</v>
      </c>
      <c r="AD126" s="1" t="s">
        <v>40</v>
      </c>
      <c r="AE126" s="1" t="s">
        <v>111</v>
      </c>
    </row>
    <row r="128" spans="1:31">
      <c r="A128" s="1" t="s">
        <v>175</v>
      </c>
      <c r="B128" s="1" t="s">
        <v>176</v>
      </c>
      <c r="AE128" s="1" t="s">
        <v>61</v>
      </c>
    </row>
    <row r="129" spans="1:31">
      <c r="B129" s="1" t="s">
        <v>32</v>
      </c>
      <c r="C129" s="1" t="s">
        <v>41</v>
      </c>
      <c r="D129" s="1" t="s">
        <v>38</v>
      </c>
      <c r="E129" s="1" t="s">
        <v>150</v>
      </c>
      <c r="F129" s="1" t="s">
        <v>41</v>
      </c>
      <c r="G129" s="1" t="s">
        <v>38</v>
      </c>
      <c r="H129" s="1" t="s">
        <v>42</v>
      </c>
      <c r="I129" s="1" t="s">
        <v>41</v>
      </c>
      <c r="J129" s="1" t="s">
        <v>171</v>
      </c>
      <c r="K129" s="1" t="s">
        <v>38</v>
      </c>
      <c r="L129" s="1" t="s">
        <v>106</v>
      </c>
      <c r="M129" s="1" t="s">
        <v>41</v>
      </c>
      <c r="N129" s="1" t="s">
        <v>172</v>
      </c>
      <c r="O129" s="1" t="s">
        <v>38</v>
      </c>
      <c r="P129" s="1" t="s">
        <v>108</v>
      </c>
      <c r="Q129" s="1" t="s">
        <v>41</v>
      </c>
      <c r="R129" s="1" t="s">
        <v>173</v>
      </c>
      <c r="S129" s="1" t="s">
        <v>38</v>
      </c>
      <c r="T129" s="1" t="s">
        <v>174</v>
      </c>
      <c r="U129" s="1">
        <v>151</v>
      </c>
      <c r="V129" s="1">
        <v>859</v>
      </c>
      <c r="W129" s="1">
        <f t="shared" si="3"/>
        <v>17.578579743888241</v>
      </c>
      <c r="X129" s="1">
        <v>137</v>
      </c>
      <c r="Y129" s="1">
        <v>875</v>
      </c>
      <c r="Z129" s="1">
        <f t="shared" si="4"/>
        <v>15.657142857142858</v>
      </c>
      <c r="AA129" s="1">
        <f>SUM(U129,X129)</f>
        <v>288</v>
      </c>
      <c r="AB129" s="1">
        <f>SUM(V129,Y129)</f>
        <v>1734</v>
      </c>
      <c r="AC129" s="1">
        <f t="shared" si="5"/>
        <v>16.608996539792386</v>
      </c>
      <c r="AD129" s="1" t="s">
        <v>128</v>
      </c>
      <c r="AE129" s="1" t="s">
        <v>129</v>
      </c>
    </row>
    <row r="130" spans="1:31">
      <c r="B130" s="1" t="s">
        <v>133</v>
      </c>
    </row>
    <row r="131" spans="1:31">
      <c r="B131" s="1" t="s">
        <v>33</v>
      </c>
      <c r="C131" s="1" t="s">
        <v>41</v>
      </c>
      <c r="D131" s="1" t="s">
        <v>38</v>
      </c>
      <c r="E131" s="1" t="s">
        <v>150</v>
      </c>
      <c r="F131" s="1" t="s">
        <v>41</v>
      </c>
      <c r="G131" s="1" t="s">
        <v>38</v>
      </c>
      <c r="H131" s="1" t="s">
        <v>42</v>
      </c>
      <c r="I131" s="1" t="s">
        <v>41</v>
      </c>
      <c r="J131" s="1" t="s">
        <v>171</v>
      </c>
      <c r="K131" s="1" t="s">
        <v>38</v>
      </c>
      <c r="L131" s="1" t="s">
        <v>106</v>
      </c>
      <c r="M131" s="1" t="s">
        <v>41</v>
      </c>
      <c r="N131" s="1" t="s">
        <v>172</v>
      </c>
      <c r="O131" s="1" t="s">
        <v>38</v>
      </c>
      <c r="P131" s="1" t="s">
        <v>108</v>
      </c>
      <c r="Q131" s="1" t="s">
        <v>41</v>
      </c>
      <c r="R131" s="1" t="s">
        <v>173</v>
      </c>
      <c r="S131" s="1" t="s">
        <v>38</v>
      </c>
      <c r="T131" s="1" t="s">
        <v>174</v>
      </c>
    </row>
    <row r="132" spans="1:31">
      <c r="B132" s="1" t="s">
        <v>100</v>
      </c>
      <c r="U132" s="1">
        <v>33</v>
      </c>
      <c r="V132" s="1">
        <v>134</v>
      </c>
      <c r="W132" s="1">
        <f t="shared" si="3"/>
        <v>24.626865671641792</v>
      </c>
      <c r="X132" s="1">
        <v>38</v>
      </c>
      <c r="Y132" s="1">
        <v>135</v>
      </c>
      <c r="Z132" s="1">
        <f t="shared" si="4"/>
        <v>28.148148148148149</v>
      </c>
      <c r="AA132" s="1">
        <f t="shared" ref="AA132:AB136" si="12">SUM(U132,X132)</f>
        <v>71</v>
      </c>
      <c r="AB132" s="1">
        <f t="shared" si="12"/>
        <v>269</v>
      </c>
      <c r="AC132" s="1">
        <f t="shared" si="5"/>
        <v>26.394052044609666</v>
      </c>
      <c r="AD132" s="1" t="s">
        <v>45</v>
      </c>
      <c r="AE132" s="1" t="s">
        <v>131</v>
      </c>
    </row>
    <row r="133" spans="1:31">
      <c r="B133" s="1" t="s">
        <v>166</v>
      </c>
      <c r="U133" s="1">
        <v>33</v>
      </c>
      <c r="V133" s="1">
        <v>104</v>
      </c>
      <c r="W133" s="1">
        <f t="shared" si="3"/>
        <v>31.73076923076923</v>
      </c>
      <c r="X133" s="1">
        <v>37</v>
      </c>
      <c r="Y133" s="1">
        <v>108</v>
      </c>
      <c r="Z133" s="1">
        <f t="shared" si="4"/>
        <v>34.25925925925926</v>
      </c>
      <c r="AA133" s="1">
        <f t="shared" si="12"/>
        <v>70</v>
      </c>
      <c r="AB133" s="1">
        <f t="shared" si="12"/>
        <v>212</v>
      </c>
      <c r="AC133" s="1">
        <f t="shared" si="5"/>
        <v>33.018867924528301</v>
      </c>
      <c r="AD133" s="1" t="s">
        <v>45</v>
      </c>
      <c r="AE133" s="1" t="s">
        <v>131</v>
      </c>
    </row>
    <row r="134" spans="1:31">
      <c r="B134" s="1" t="s">
        <v>177</v>
      </c>
      <c r="U134" s="1">
        <v>33</v>
      </c>
      <c r="V134" s="1">
        <v>134</v>
      </c>
      <c r="W134" s="1">
        <f t="shared" si="3"/>
        <v>24.626865671641792</v>
      </c>
      <c r="X134" s="1">
        <v>39</v>
      </c>
      <c r="Y134" s="1">
        <v>137</v>
      </c>
      <c r="Z134" s="1">
        <f t="shared" si="4"/>
        <v>28.467153284671532</v>
      </c>
      <c r="AA134" s="1">
        <f t="shared" si="12"/>
        <v>72</v>
      </c>
      <c r="AB134" s="1">
        <f t="shared" si="12"/>
        <v>271</v>
      </c>
      <c r="AC134" s="1">
        <f t="shared" si="5"/>
        <v>26.568265682656829</v>
      </c>
      <c r="AD134" s="1" t="s">
        <v>45</v>
      </c>
      <c r="AE134" s="1" t="s">
        <v>131</v>
      </c>
    </row>
    <row r="135" spans="1:31">
      <c r="B135" s="1" t="s">
        <v>178</v>
      </c>
      <c r="U135" s="1">
        <v>156</v>
      </c>
      <c r="V135" s="1">
        <v>746</v>
      </c>
      <c r="W135" s="1">
        <f t="shared" si="3"/>
        <v>20.91152815013405</v>
      </c>
      <c r="X135" s="1">
        <v>143</v>
      </c>
      <c r="Y135" s="1">
        <v>752</v>
      </c>
      <c r="Z135" s="1">
        <f t="shared" si="4"/>
        <v>19.01595744680851</v>
      </c>
      <c r="AA135" s="1">
        <f t="shared" si="12"/>
        <v>299</v>
      </c>
      <c r="AB135" s="1">
        <f t="shared" si="12"/>
        <v>1498</v>
      </c>
      <c r="AC135" s="1">
        <f t="shared" si="5"/>
        <v>19.959946595460615</v>
      </c>
      <c r="AD135" s="1" t="s">
        <v>45</v>
      </c>
      <c r="AE135" s="1" t="s">
        <v>131</v>
      </c>
    </row>
    <row r="136" spans="1:31">
      <c r="B136" s="1" t="s">
        <v>179</v>
      </c>
      <c r="U136" s="1">
        <v>144</v>
      </c>
      <c r="V136" s="1">
        <v>354</v>
      </c>
      <c r="W136" s="1">
        <f t="shared" ref="W136:W194" si="13">U136/V136*100</f>
        <v>40.677966101694921</v>
      </c>
      <c r="X136" s="1">
        <v>139</v>
      </c>
      <c r="Y136" s="1">
        <v>344</v>
      </c>
      <c r="Z136" s="1">
        <f t="shared" ref="Z136:Z197" si="14">X136/Y136*100</f>
        <v>40.406976744186046</v>
      </c>
      <c r="AA136" s="1">
        <f t="shared" si="12"/>
        <v>283</v>
      </c>
      <c r="AB136" s="1">
        <f t="shared" si="12"/>
        <v>698</v>
      </c>
      <c r="AC136" s="1">
        <f t="shared" ref="AC136:AC199" si="15">AA136/AB136*100</f>
        <v>40.544412607449857</v>
      </c>
      <c r="AD136" s="1" t="s">
        <v>45</v>
      </c>
      <c r="AE136" s="1" t="s">
        <v>131</v>
      </c>
    </row>
    <row r="138" spans="1:31">
      <c r="A138" s="1" t="s">
        <v>180</v>
      </c>
      <c r="B138" s="1" t="s">
        <v>164</v>
      </c>
    </row>
    <row r="139" spans="1:31">
      <c r="B139" s="1" t="s">
        <v>32</v>
      </c>
      <c r="C139" s="1" t="s">
        <v>41</v>
      </c>
      <c r="D139" s="1" t="s">
        <v>38</v>
      </c>
      <c r="E139" s="1" t="s">
        <v>150</v>
      </c>
      <c r="F139" s="1" t="s">
        <v>41</v>
      </c>
      <c r="G139" s="1" t="s">
        <v>38</v>
      </c>
      <c r="H139" s="1" t="s">
        <v>42</v>
      </c>
      <c r="I139" s="1" t="s">
        <v>37</v>
      </c>
      <c r="J139" s="1" t="s">
        <v>181</v>
      </c>
      <c r="K139" s="1" t="s">
        <v>37</v>
      </c>
      <c r="L139" s="1" t="s">
        <v>159</v>
      </c>
      <c r="M139" s="1" t="s">
        <v>41</v>
      </c>
      <c r="N139" s="1" t="s">
        <v>172</v>
      </c>
      <c r="O139" s="1" t="s">
        <v>38</v>
      </c>
      <c r="P139" s="1" t="s">
        <v>108</v>
      </c>
      <c r="Q139" s="1" t="s">
        <v>41</v>
      </c>
      <c r="R139" s="1" t="s">
        <v>173</v>
      </c>
      <c r="S139" s="1" t="s">
        <v>38</v>
      </c>
      <c r="T139" s="1" t="s">
        <v>174</v>
      </c>
      <c r="AE139" s="1" t="s">
        <v>61</v>
      </c>
    </row>
    <row r="140" spans="1:31">
      <c r="B140" s="1" t="s">
        <v>133</v>
      </c>
      <c r="U140" s="1">
        <v>145</v>
      </c>
      <c r="V140" s="1">
        <v>1053</v>
      </c>
      <c r="W140" s="1">
        <f t="shared" si="13"/>
        <v>13.770180436847104</v>
      </c>
      <c r="X140" s="1">
        <v>174</v>
      </c>
      <c r="Y140" s="1">
        <v>1067</v>
      </c>
      <c r="Z140" s="1">
        <f t="shared" si="14"/>
        <v>16.307403936269914</v>
      </c>
      <c r="AA140" s="1">
        <f>SUM(U140,X140)</f>
        <v>319</v>
      </c>
      <c r="AB140" s="1">
        <f>SUM(V140,Y140)</f>
        <v>2120</v>
      </c>
      <c r="AC140" s="1">
        <f t="shared" si="15"/>
        <v>15.047169811320755</v>
      </c>
      <c r="AD140" s="1" t="s">
        <v>128</v>
      </c>
      <c r="AE140" s="1" t="s">
        <v>129</v>
      </c>
    </row>
    <row r="141" spans="1:31">
      <c r="B141" s="1" t="s">
        <v>64</v>
      </c>
      <c r="U141" s="1">
        <v>164</v>
      </c>
      <c r="V141" s="1">
        <v>1057</v>
      </c>
      <c r="W141" s="1">
        <f t="shared" si="13"/>
        <v>15.515610217596972</v>
      </c>
      <c r="X141" s="1">
        <v>196</v>
      </c>
      <c r="Y141" s="1">
        <v>1072</v>
      </c>
      <c r="Z141" s="1">
        <f t="shared" si="14"/>
        <v>18.28358208955224</v>
      </c>
      <c r="AA141" s="1">
        <f>SUM(U141,X141)</f>
        <v>360</v>
      </c>
      <c r="AB141" s="1">
        <f>SUM(V141,Y141)</f>
        <v>2129</v>
      </c>
      <c r="AC141" s="1">
        <f t="shared" si="15"/>
        <v>16.909347111319871</v>
      </c>
      <c r="AD141" s="1" t="s">
        <v>128</v>
      </c>
      <c r="AE141" s="1" t="s">
        <v>129</v>
      </c>
    </row>
    <row r="142" spans="1:31">
      <c r="B142" s="1" t="s">
        <v>33</v>
      </c>
      <c r="C142" s="1" t="s">
        <v>41</v>
      </c>
      <c r="D142" s="1" t="s">
        <v>38</v>
      </c>
      <c r="E142" s="1" t="s">
        <v>150</v>
      </c>
      <c r="F142" s="1" t="s">
        <v>41</v>
      </c>
      <c r="G142" s="1" t="s">
        <v>38</v>
      </c>
      <c r="H142" s="1" t="s">
        <v>42</v>
      </c>
      <c r="I142" s="1" t="s">
        <v>37</v>
      </c>
      <c r="J142" s="1" t="s">
        <v>181</v>
      </c>
      <c r="K142" s="1" t="s">
        <v>37</v>
      </c>
      <c r="L142" s="1" t="s">
        <v>159</v>
      </c>
      <c r="M142" s="1" t="s">
        <v>41</v>
      </c>
      <c r="N142" s="1" t="s">
        <v>172</v>
      </c>
      <c r="O142" s="1" t="s">
        <v>38</v>
      </c>
      <c r="P142" s="1" t="s">
        <v>108</v>
      </c>
      <c r="Q142" s="1" t="s">
        <v>41</v>
      </c>
      <c r="R142" s="1" t="s">
        <v>173</v>
      </c>
      <c r="S142" s="1" t="s">
        <v>38</v>
      </c>
      <c r="T142" s="1" t="s">
        <v>174</v>
      </c>
    </row>
    <row r="143" spans="1:31">
      <c r="B143" s="1" t="s">
        <v>100</v>
      </c>
      <c r="U143" s="1">
        <v>80</v>
      </c>
      <c r="V143" s="1">
        <v>211</v>
      </c>
      <c r="W143" s="1">
        <f t="shared" si="13"/>
        <v>37.914691943127963</v>
      </c>
      <c r="X143" s="1">
        <v>80</v>
      </c>
      <c r="Y143" s="1">
        <v>207</v>
      </c>
      <c r="Z143" s="1">
        <f t="shared" si="14"/>
        <v>38.647342995169083</v>
      </c>
      <c r="AA143" s="1">
        <f>SUM(U143,X143)</f>
        <v>160</v>
      </c>
      <c r="AB143" s="1">
        <f>SUM(V143,Y143)</f>
        <v>418</v>
      </c>
      <c r="AC143" s="1">
        <f t="shared" si="15"/>
        <v>38.277511961722489</v>
      </c>
      <c r="AD143" s="1" t="s">
        <v>45</v>
      </c>
      <c r="AE143" s="1" t="s">
        <v>131</v>
      </c>
    </row>
    <row r="144" spans="1:31">
      <c r="B144" s="1" t="s">
        <v>166</v>
      </c>
      <c r="U144" s="1">
        <v>71</v>
      </c>
      <c r="V144" s="1">
        <v>202</v>
      </c>
      <c r="W144" s="1">
        <f t="shared" si="13"/>
        <v>35.148514851485146</v>
      </c>
      <c r="X144" s="1">
        <v>74</v>
      </c>
      <c r="Y144" s="1">
        <v>200</v>
      </c>
      <c r="Z144" s="1">
        <f t="shared" si="14"/>
        <v>37</v>
      </c>
      <c r="AA144" s="1">
        <f>SUM(U144,X144)</f>
        <v>145</v>
      </c>
      <c r="AB144" s="1">
        <v>402</v>
      </c>
      <c r="AC144" s="1">
        <f t="shared" si="15"/>
        <v>36.069651741293534</v>
      </c>
      <c r="AD144" s="1" t="s">
        <v>45</v>
      </c>
      <c r="AE144" s="1" t="s">
        <v>131</v>
      </c>
    </row>
    <row r="145" spans="1:31">
      <c r="B145" s="1" t="s">
        <v>167</v>
      </c>
      <c r="U145" s="1">
        <v>182</v>
      </c>
      <c r="V145" s="1">
        <v>1030</v>
      </c>
      <c r="W145" s="1">
        <f t="shared" si="13"/>
        <v>17.66990291262136</v>
      </c>
      <c r="X145" s="1">
        <v>210</v>
      </c>
      <c r="Y145" s="1">
        <v>1050</v>
      </c>
      <c r="Z145" s="1">
        <f t="shared" si="14"/>
        <v>20</v>
      </c>
      <c r="AA145" s="1">
        <f>SUM(U145,X145)</f>
        <v>392</v>
      </c>
      <c r="AB145" s="1">
        <f>SUM(V145,Y145)</f>
        <v>2080</v>
      </c>
      <c r="AC145" s="1">
        <f t="shared" si="15"/>
        <v>18.846153846153847</v>
      </c>
      <c r="AD145" s="1" t="s">
        <v>128</v>
      </c>
      <c r="AE145" s="1" t="s">
        <v>129</v>
      </c>
    </row>
    <row r="146" spans="1:31">
      <c r="B146" s="1" t="s">
        <v>168</v>
      </c>
      <c r="U146" s="1">
        <v>175</v>
      </c>
      <c r="V146" s="1">
        <v>1016</v>
      </c>
      <c r="W146" s="1">
        <f t="shared" si="13"/>
        <v>17.224409448818896</v>
      </c>
      <c r="X146" s="1">
        <v>208</v>
      </c>
      <c r="Y146" s="1">
        <v>1050</v>
      </c>
      <c r="Z146" s="1">
        <f t="shared" si="14"/>
        <v>19.80952380952381</v>
      </c>
      <c r="AA146" s="1">
        <f>SUM(U146,X146)</f>
        <v>383</v>
      </c>
      <c r="AB146" s="1">
        <f>SUM(V146,Y146)</f>
        <v>2066</v>
      </c>
      <c r="AC146" s="1">
        <f t="shared" si="15"/>
        <v>18.538238141335913</v>
      </c>
      <c r="AD146" s="1" t="s">
        <v>128</v>
      </c>
      <c r="AE146" s="1" t="s">
        <v>129</v>
      </c>
    </row>
    <row r="148" spans="1:31">
      <c r="A148" s="1" t="s">
        <v>182</v>
      </c>
      <c r="B148" s="1" t="s">
        <v>183</v>
      </c>
      <c r="AE148" s="1" t="s">
        <v>61</v>
      </c>
    </row>
    <row r="149" spans="1:31">
      <c r="A149" s="1" t="s">
        <v>190</v>
      </c>
      <c r="B149" s="1" t="s">
        <v>32</v>
      </c>
      <c r="C149" s="1" t="s">
        <v>41</v>
      </c>
      <c r="D149" s="1" t="s">
        <v>38</v>
      </c>
      <c r="E149" s="1" t="s">
        <v>150</v>
      </c>
      <c r="F149" s="1" t="s">
        <v>41</v>
      </c>
      <c r="G149" s="1" t="s">
        <v>38</v>
      </c>
      <c r="H149" s="1" t="s">
        <v>42</v>
      </c>
      <c r="I149" s="1" t="s">
        <v>41</v>
      </c>
      <c r="J149" s="1" t="s">
        <v>171</v>
      </c>
      <c r="K149" s="1" t="s">
        <v>38</v>
      </c>
      <c r="L149" s="1" t="s">
        <v>106</v>
      </c>
      <c r="M149" s="1" t="s">
        <v>41</v>
      </c>
      <c r="N149" s="1" t="s">
        <v>172</v>
      </c>
      <c r="O149" s="1" t="s">
        <v>38</v>
      </c>
      <c r="P149" s="1" t="s">
        <v>108</v>
      </c>
      <c r="Q149" s="1" t="s">
        <v>41</v>
      </c>
      <c r="R149" s="1" t="s">
        <v>173</v>
      </c>
      <c r="S149" s="1" t="s">
        <v>38</v>
      </c>
      <c r="T149" s="1" t="s">
        <v>174</v>
      </c>
    </row>
    <row r="150" spans="1:31">
      <c r="B150" s="1" t="s">
        <v>73</v>
      </c>
      <c r="U150" s="1">
        <v>324</v>
      </c>
      <c r="V150" s="1">
        <v>404</v>
      </c>
      <c r="W150" s="1">
        <f t="shared" si="13"/>
        <v>80.198019801980209</v>
      </c>
      <c r="X150" s="1">
        <v>323</v>
      </c>
      <c r="Y150" s="1">
        <v>409</v>
      </c>
      <c r="Z150" s="1">
        <f t="shared" si="14"/>
        <v>78.973105134474338</v>
      </c>
      <c r="AA150" s="1">
        <f>SUM(U150,X150)</f>
        <v>647</v>
      </c>
      <c r="AB150" s="1">
        <f>SUM(V150,Y150)</f>
        <v>813</v>
      </c>
      <c r="AC150" s="1">
        <f t="shared" si="15"/>
        <v>79.581795817958181</v>
      </c>
      <c r="AD150" s="1" t="s">
        <v>45</v>
      </c>
      <c r="AE150" s="1" t="s">
        <v>131</v>
      </c>
    </row>
    <row r="151" spans="1:31">
      <c r="B151" s="1" t="s">
        <v>64</v>
      </c>
      <c r="U151" s="1">
        <v>317</v>
      </c>
      <c r="V151" s="1">
        <v>404</v>
      </c>
      <c r="W151" s="1">
        <f t="shared" si="13"/>
        <v>78.465346534653463</v>
      </c>
      <c r="X151" s="1">
        <v>319</v>
      </c>
      <c r="Y151" s="1">
        <v>409</v>
      </c>
      <c r="Z151" s="1">
        <f t="shared" si="14"/>
        <v>77.995110024449872</v>
      </c>
      <c r="AA151" s="1">
        <f>SUM(U151,X151)</f>
        <v>636</v>
      </c>
      <c r="AB151" s="1">
        <f>SUM(V151,Y151)</f>
        <v>813</v>
      </c>
      <c r="AC151" s="1">
        <f t="shared" si="15"/>
        <v>78.228782287822867</v>
      </c>
      <c r="AD151" s="1" t="s">
        <v>45</v>
      </c>
      <c r="AE151" s="1" t="s">
        <v>131</v>
      </c>
    </row>
    <row r="152" spans="1:31">
      <c r="B152" s="1" t="s">
        <v>33</v>
      </c>
      <c r="C152" s="1" t="s">
        <v>41</v>
      </c>
      <c r="D152" s="1" t="s">
        <v>38</v>
      </c>
      <c r="E152" s="1" t="s">
        <v>150</v>
      </c>
      <c r="F152" s="1" t="s">
        <v>41</v>
      </c>
      <c r="G152" s="1" t="s">
        <v>38</v>
      </c>
      <c r="H152" s="1" t="s">
        <v>42</v>
      </c>
      <c r="I152" s="1" t="s">
        <v>41</v>
      </c>
      <c r="J152" s="1" t="s">
        <v>171</v>
      </c>
      <c r="K152" s="1" t="s">
        <v>38</v>
      </c>
      <c r="L152" s="1" t="s">
        <v>106</v>
      </c>
      <c r="M152" s="1" t="s">
        <v>41</v>
      </c>
      <c r="N152" s="1" t="s">
        <v>172</v>
      </c>
      <c r="O152" s="1" t="s">
        <v>38</v>
      </c>
      <c r="P152" s="1" t="s">
        <v>108</v>
      </c>
      <c r="Q152" s="1" t="s">
        <v>41</v>
      </c>
      <c r="R152" s="1" t="s">
        <v>173</v>
      </c>
      <c r="S152" s="1" t="s">
        <v>38</v>
      </c>
      <c r="T152" s="1" t="s">
        <v>174</v>
      </c>
    </row>
    <row r="153" spans="1:31">
      <c r="B153" s="1" t="s">
        <v>100</v>
      </c>
      <c r="U153" s="1">
        <v>122</v>
      </c>
      <c r="V153" s="1">
        <v>139</v>
      </c>
      <c r="W153" s="1">
        <f t="shared" si="13"/>
        <v>87.769784172661872</v>
      </c>
      <c r="X153" s="1">
        <v>117</v>
      </c>
      <c r="Y153" s="1">
        <v>140</v>
      </c>
      <c r="Z153" s="1">
        <f t="shared" si="14"/>
        <v>83.571428571428569</v>
      </c>
      <c r="AA153" s="1">
        <f t="shared" ref="AA153:AB155" si="16">SUM(U153,X153)</f>
        <v>239</v>
      </c>
      <c r="AB153" s="1">
        <f t="shared" si="16"/>
        <v>279</v>
      </c>
      <c r="AC153" s="1">
        <f t="shared" si="15"/>
        <v>85.663082437275989</v>
      </c>
      <c r="AD153" s="1" t="s">
        <v>45</v>
      </c>
      <c r="AE153" s="1" t="s">
        <v>131</v>
      </c>
    </row>
    <row r="154" spans="1:31">
      <c r="B154" s="1" t="s">
        <v>166</v>
      </c>
      <c r="U154" s="1">
        <v>117</v>
      </c>
      <c r="V154" s="1">
        <v>134</v>
      </c>
      <c r="W154" s="1">
        <f t="shared" si="13"/>
        <v>87.31343283582089</v>
      </c>
      <c r="X154" s="1">
        <v>111</v>
      </c>
      <c r="Y154" s="1">
        <v>133</v>
      </c>
      <c r="Z154" s="1">
        <f t="shared" si="14"/>
        <v>83.458646616541358</v>
      </c>
      <c r="AA154" s="1">
        <f t="shared" si="16"/>
        <v>228</v>
      </c>
      <c r="AB154" s="1">
        <f t="shared" si="16"/>
        <v>267</v>
      </c>
      <c r="AC154" s="1">
        <f t="shared" si="15"/>
        <v>85.393258426966284</v>
      </c>
      <c r="AD154" s="1" t="s">
        <v>45</v>
      </c>
      <c r="AE154" s="1" t="s">
        <v>131</v>
      </c>
    </row>
    <row r="155" spans="1:31">
      <c r="B155" s="1" t="s">
        <v>177</v>
      </c>
      <c r="U155" s="1">
        <v>122</v>
      </c>
      <c r="V155" s="1">
        <v>139</v>
      </c>
      <c r="W155" s="1">
        <f t="shared" si="13"/>
        <v>87.769784172661872</v>
      </c>
      <c r="X155" s="1">
        <v>116</v>
      </c>
      <c r="Y155" s="1">
        <v>139</v>
      </c>
      <c r="Z155" s="1">
        <f t="shared" si="14"/>
        <v>83.453237410071949</v>
      </c>
      <c r="AA155" s="1">
        <f t="shared" si="16"/>
        <v>238</v>
      </c>
      <c r="AB155" s="1">
        <f t="shared" si="16"/>
        <v>278</v>
      </c>
      <c r="AC155" s="1">
        <f t="shared" si="15"/>
        <v>85.611510791366911</v>
      </c>
      <c r="AD155" s="1" t="s">
        <v>45</v>
      </c>
      <c r="AE155" s="1" t="s">
        <v>131</v>
      </c>
    </row>
    <row r="156" spans="1:31">
      <c r="B156" s="1" t="s">
        <v>184</v>
      </c>
      <c r="AA156" s="1">
        <v>63</v>
      </c>
      <c r="AB156" s="1">
        <v>101</v>
      </c>
      <c r="AC156" s="1">
        <f t="shared" si="15"/>
        <v>62.376237623762378</v>
      </c>
      <c r="AD156" s="1" t="s">
        <v>45</v>
      </c>
      <c r="AE156" s="1" t="s">
        <v>131</v>
      </c>
    </row>
    <row r="157" spans="1:31">
      <c r="B157" s="1" t="s">
        <v>185</v>
      </c>
      <c r="AA157" s="1">
        <v>63</v>
      </c>
      <c r="AB157" s="1">
        <v>101</v>
      </c>
      <c r="AC157" s="1">
        <f t="shared" si="15"/>
        <v>62.376237623762378</v>
      </c>
      <c r="AD157" s="1" t="s">
        <v>45</v>
      </c>
      <c r="AE157" s="1" t="s">
        <v>131</v>
      </c>
    </row>
    <row r="158" spans="1:31">
      <c r="B158" s="1" t="s">
        <v>186</v>
      </c>
      <c r="U158" s="1">
        <v>230</v>
      </c>
      <c r="V158" s="1">
        <v>402</v>
      </c>
      <c r="W158" s="1">
        <f t="shared" si="13"/>
        <v>57.2139303482587</v>
      </c>
      <c r="X158" s="1">
        <v>235</v>
      </c>
      <c r="Y158" s="1">
        <v>407</v>
      </c>
      <c r="Z158" s="1">
        <f t="shared" si="14"/>
        <v>57.739557739557732</v>
      </c>
      <c r="AA158" s="1">
        <f>SUM(U158,X158)</f>
        <v>465</v>
      </c>
      <c r="AB158" s="1">
        <f>SUM(V158,Y158)</f>
        <v>809</v>
      </c>
      <c r="AC158" s="1">
        <f t="shared" si="15"/>
        <v>57.478368355995059</v>
      </c>
      <c r="AD158" s="1" t="s">
        <v>45</v>
      </c>
      <c r="AE158" s="1" t="s">
        <v>131</v>
      </c>
    </row>
    <row r="159" spans="1:31">
      <c r="B159" s="1" t="s">
        <v>187</v>
      </c>
      <c r="U159" s="1">
        <v>102</v>
      </c>
      <c r="V159" s="1">
        <v>176</v>
      </c>
      <c r="W159" s="1">
        <f t="shared" si="13"/>
        <v>57.95454545454546</v>
      </c>
      <c r="X159" s="1">
        <v>94</v>
      </c>
      <c r="Y159" s="1">
        <v>175</v>
      </c>
      <c r="Z159" s="1">
        <f t="shared" si="14"/>
        <v>53.714285714285715</v>
      </c>
      <c r="AA159" s="1">
        <f>SUM(U159,X159)</f>
        <v>196</v>
      </c>
      <c r="AB159" s="1">
        <f>SUM(V159,Y159)</f>
        <v>351</v>
      </c>
      <c r="AC159" s="1">
        <f t="shared" si="15"/>
        <v>55.840455840455839</v>
      </c>
      <c r="AD159" s="1" t="s">
        <v>45</v>
      </c>
      <c r="AE159" s="1" t="s">
        <v>131</v>
      </c>
    </row>
    <row r="161" spans="1:31">
      <c r="A161" s="1" t="s">
        <v>189</v>
      </c>
      <c r="B161" s="1" t="s">
        <v>188</v>
      </c>
    </row>
    <row r="162" spans="1:31">
      <c r="B162" s="1" t="s">
        <v>32</v>
      </c>
    </row>
    <row r="163" spans="1:31">
      <c r="B163" s="1" t="s">
        <v>73</v>
      </c>
      <c r="U163" s="1">
        <v>395</v>
      </c>
      <c r="V163" s="1">
        <v>407</v>
      </c>
      <c r="W163" s="1">
        <f t="shared" si="13"/>
        <v>97.051597051597042</v>
      </c>
      <c r="X163" s="1">
        <v>384</v>
      </c>
      <c r="Y163" s="1">
        <v>399</v>
      </c>
      <c r="Z163" s="1">
        <f t="shared" si="14"/>
        <v>96.240601503759393</v>
      </c>
      <c r="AA163" s="1">
        <f>SUM(U163,X163)</f>
        <v>779</v>
      </c>
      <c r="AB163" s="1">
        <f>SUM(V163,Y163)</f>
        <v>806</v>
      </c>
      <c r="AC163" s="1">
        <f t="shared" si="15"/>
        <v>96.650124069478906</v>
      </c>
      <c r="AD163" s="1" t="s">
        <v>45</v>
      </c>
      <c r="AE163" s="1" t="s">
        <v>131</v>
      </c>
    </row>
    <row r="164" spans="1:31">
      <c r="B164" s="1" t="s">
        <v>64</v>
      </c>
      <c r="U164" s="1">
        <v>395</v>
      </c>
      <c r="V164" s="1">
        <v>407</v>
      </c>
      <c r="W164" s="1">
        <f t="shared" si="13"/>
        <v>97.051597051597042</v>
      </c>
      <c r="X164" s="1">
        <v>384</v>
      </c>
      <c r="Y164" s="1">
        <v>399</v>
      </c>
      <c r="Z164" s="1">
        <f t="shared" si="14"/>
        <v>96.240601503759393</v>
      </c>
      <c r="AA164" s="1">
        <f>SUM(U164,X164)</f>
        <v>779</v>
      </c>
      <c r="AB164" s="1">
        <f>SUM(V164,Y164)</f>
        <v>806</v>
      </c>
      <c r="AC164" s="1">
        <f t="shared" si="15"/>
        <v>96.650124069478906</v>
      </c>
      <c r="AD164" s="1" t="s">
        <v>45</v>
      </c>
      <c r="AE164" s="1" t="s">
        <v>131</v>
      </c>
    </row>
    <row r="165" spans="1:31">
      <c r="B165" s="1" t="s">
        <v>33</v>
      </c>
    </row>
    <row r="166" spans="1:31">
      <c r="B166" s="1" t="s">
        <v>100</v>
      </c>
      <c r="V166" s="1">
        <v>64</v>
      </c>
      <c r="Y166" s="1">
        <v>51</v>
      </c>
      <c r="AB166" s="1">
        <f>SUM(V166,Y166)</f>
        <v>115</v>
      </c>
    </row>
    <row r="167" spans="1:31">
      <c r="B167" s="1" t="s">
        <v>166</v>
      </c>
      <c r="V167" s="1">
        <v>58</v>
      </c>
      <c r="Y167" s="1">
        <v>46</v>
      </c>
      <c r="AB167" s="1">
        <f>SUM(V167,Y167)</f>
        <v>104</v>
      </c>
    </row>
    <row r="168" spans="1:31">
      <c r="B168" s="1" t="s">
        <v>177</v>
      </c>
      <c r="V168" s="1">
        <v>61</v>
      </c>
      <c r="Y168" s="1">
        <v>50</v>
      </c>
      <c r="AB168" s="1">
        <f>SUM(V168,Y168)</f>
        <v>111</v>
      </c>
    </row>
    <row r="169" spans="1:31">
      <c r="B169" s="1" t="s">
        <v>184</v>
      </c>
    </row>
    <row r="170" spans="1:31">
      <c r="B170" s="1" t="s">
        <v>185</v>
      </c>
    </row>
    <row r="171" spans="1:31">
      <c r="B171" s="1" t="s">
        <v>186</v>
      </c>
    </row>
    <row r="172" spans="1:31">
      <c r="B172" s="1" t="s">
        <v>187</v>
      </c>
      <c r="V172" s="1">
        <v>55</v>
      </c>
      <c r="Y172" s="1">
        <v>55</v>
      </c>
      <c r="AB172" s="1">
        <f>SUM(V172,Y172)</f>
        <v>110</v>
      </c>
    </row>
    <row r="174" spans="1:31">
      <c r="A174" s="1" t="s">
        <v>191</v>
      </c>
      <c r="B174" s="1" t="s">
        <v>197</v>
      </c>
      <c r="C174" s="1" t="s">
        <v>37</v>
      </c>
      <c r="D174" s="1" t="s">
        <v>40</v>
      </c>
      <c r="E174" s="1" t="s">
        <v>192</v>
      </c>
      <c r="F174" s="1" t="s">
        <v>41</v>
      </c>
      <c r="G174" s="1" t="s">
        <v>38</v>
      </c>
      <c r="H174" s="1" t="s">
        <v>42</v>
      </c>
      <c r="I174" s="1" t="s">
        <v>41</v>
      </c>
      <c r="J174" s="1" t="s">
        <v>193</v>
      </c>
      <c r="K174" s="1" t="s">
        <v>38</v>
      </c>
      <c r="L174" s="1" t="s">
        <v>106</v>
      </c>
      <c r="M174" s="1" t="s">
        <v>41</v>
      </c>
      <c r="N174" s="1" t="s">
        <v>194</v>
      </c>
      <c r="O174" s="1" t="s">
        <v>38</v>
      </c>
      <c r="P174" s="1" t="s">
        <v>108</v>
      </c>
      <c r="Q174" s="1" t="s">
        <v>41</v>
      </c>
      <c r="R174" s="1" t="s">
        <v>194</v>
      </c>
      <c r="S174" s="1" t="s">
        <v>38</v>
      </c>
      <c r="T174" s="1" t="s">
        <v>174</v>
      </c>
      <c r="AE174" s="1" t="s">
        <v>61</v>
      </c>
    </row>
    <row r="175" spans="1:31">
      <c r="B175" s="1" t="s">
        <v>32</v>
      </c>
      <c r="AA175" s="1">
        <v>481</v>
      </c>
      <c r="AB175" s="1">
        <v>797</v>
      </c>
      <c r="AC175" s="1">
        <f t="shared" si="15"/>
        <v>60.351317440401509</v>
      </c>
      <c r="AD175" s="1" t="s">
        <v>45</v>
      </c>
      <c r="AE175" s="1" t="s">
        <v>131</v>
      </c>
    </row>
    <row r="176" spans="1:31">
      <c r="B176" s="1" t="s">
        <v>73</v>
      </c>
    </row>
    <row r="177" spans="1:31">
      <c r="B177" s="1" t="s">
        <v>64</v>
      </c>
    </row>
    <row r="178" spans="1:31">
      <c r="B178" s="1" t="s">
        <v>33</v>
      </c>
    </row>
    <row r="179" spans="1:31">
      <c r="B179" s="1" t="s">
        <v>100</v>
      </c>
      <c r="AA179" s="1">
        <v>588</v>
      </c>
      <c r="AB179" s="1">
        <v>797</v>
      </c>
      <c r="AC179" s="1">
        <f t="shared" si="15"/>
        <v>73.776662484316191</v>
      </c>
      <c r="AD179" s="1" t="s">
        <v>45</v>
      </c>
      <c r="AE179" s="1" t="s">
        <v>131</v>
      </c>
    </row>
    <row r="180" spans="1:31">
      <c r="B180" s="1" t="s">
        <v>195</v>
      </c>
      <c r="AA180" s="1">
        <v>588</v>
      </c>
      <c r="AB180" s="1">
        <v>797</v>
      </c>
      <c r="AC180" s="1">
        <f t="shared" si="15"/>
        <v>73.776662484316191</v>
      </c>
      <c r="AD180" s="1" t="s">
        <v>45</v>
      </c>
      <c r="AE180" s="1" t="s">
        <v>131</v>
      </c>
    </row>
    <row r="181" spans="1:31">
      <c r="B181" s="1" t="s">
        <v>99</v>
      </c>
      <c r="AA181" s="1">
        <v>481</v>
      </c>
      <c r="AB181" s="1">
        <v>797</v>
      </c>
      <c r="AC181" s="1">
        <f t="shared" si="15"/>
        <v>60.351317440401509</v>
      </c>
      <c r="AD181" s="1" t="s">
        <v>45</v>
      </c>
      <c r="AE181" s="1" t="s">
        <v>131</v>
      </c>
    </row>
    <row r="182" spans="1:31">
      <c r="B182" s="1" t="s">
        <v>196</v>
      </c>
      <c r="AA182" s="1">
        <v>60</v>
      </c>
      <c r="AB182" s="1">
        <v>115</v>
      </c>
      <c r="AC182" s="1">
        <f t="shared" si="15"/>
        <v>52.173913043478258</v>
      </c>
      <c r="AD182" s="1" t="s">
        <v>45</v>
      </c>
      <c r="AE182" s="1" t="s">
        <v>131</v>
      </c>
    </row>
    <row r="184" spans="1:31">
      <c r="A184" s="1" t="s">
        <v>198</v>
      </c>
      <c r="B184" s="1" t="s">
        <v>200</v>
      </c>
      <c r="AE184" s="1" t="s">
        <v>61</v>
      </c>
    </row>
    <row r="185" spans="1:31">
      <c r="A185" s="1" t="s">
        <v>201</v>
      </c>
      <c r="B185" s="1" t="s">
        <v>32</v>
      </c>
      <c r="C185" s="1" t="s">
        <v>41</v>
      </c>
      <c r="D185" s="1" t="s">
        <v>38</v>
      </c>
      <c r="E185" s="1" t="s">
        <v>150</v>
      </c>
      <c r="F185" s="1" t="s">
        <v>41</v>
      </c>
      <c r="G185" s="1" t="s">
        <v>38</v>
      </c>
      <c r="H185" s="1" t="s">
        <v>42</v>
      </c>
      <c r="I185" s="1" t="s">
        <v>41</v>
      </c>
      <c r="J185" s="1" t="s">
        <v>171</v>
      </c>
      <c r="K185" s="1" t="s">
        <v>38</v>
      </c>
      <c r="L185" s="1" t="s">
        <v>106</v>
      </c>
      <c r="M185" s="1" t="s">
        <v>41</v>
      </c>
      <c r="N185" s="1" t="s">
        <v>172</v>
      </c>
      <c r="O185" s="1" t="s">
        <v>38</v>
      </c>
      <c r="P185" s="1" t="s">
        <v>108</v>
      </c>
      <c r="Q185" s="1" t="s">
        <v>41</v>
      </c>
      <c r="R185" s="1" t="s">
        <v>173</v>
      </c>
      <c r="S185" s="1" t="s">
        <v>38</v>
      </c>
      <c r="T185" s="1" t="s">
        <v>174</v>
      </c>
      <c r="U185" s="1">
        <v>15</v>
      </c>
      <c r="V185" s="1">
        <v>673</v>
      </c>
      <c r="W185" s="1">
        <f t="shared" si="13"/>
        <v>2.2288261515601784</v>
      </c>
      <c r="X185" s="1">
        <v>16</v>
      </c>
      <c r="Y185" s="1">
        <v>448</v>
      </c>
      <c r="Z185" s="1">
        <f t="shared" si="14"/>
        <v>3.5714285714285712</v>
      </c>
      <c r="AA185" s="1">
        <f>SUM(U185,X185)</f>
        <v>31</v>
      </c>
      <c r="AB185" s="1">
        <v>1121</v>
      </c>
      <c r="AC185" s="1">
        <f t="shared" si="15"/>
        <v>2.7653880463871543</v>
      </c>
      <c r="AD185" s="1" t="s">
        <v>40</v>
      </c>
      <c r="AE185" s="1" t="s">
        <v>111</v>
      </c>
    </row>
    <row r="186" spans="1:31">
      <c r="B186" s="1" t="s">
        <v>86</v>
      </c>
    </row>
    <row r="187" spans="1:31">
      <c r="B187" s="1" t="s">
        <v>64</v>
      </c>
    </row>
    <row r="188" spans="1:31">
      <c r="B188" s="1" t="s">
        <v>33</v>
      </c>
      <c r="C188" s="1" t="s">
        <v>41</v>
      </c>
      <c r="D188" s="1" t="s">
        <v>38</v>
      </c>
      <c r="E188" s="1" t="s">
        <v>150</v>
      </c>
      <c r="F188" s="1" t="s">
        <v>41</v>
      </c>
      <c r="G188" s="1" t="s">
        <v>38</v>
      </c>
      <c r="H188" s="1" t="s">
        <v>42</v>
      </c>
      <c r="I188" s="1" t="s">
        <v>41</v>
      </c>
      <c r="J188" s="1" t="s">
        <v>171</v>
      </c>
      <c r="K188" s="1" t="s">
        <v>38</v>
      </c>
      <c r="L188" s="1" t="s">
        <v>106</v>
      </c>
      <c r="M188" s="1" t="s">
        <v>41</v>
      </c>
      <c r="N188" s="1" t="s">
        <v>172</v>
      </c>
      <c r="O188" s="1" t="s">
        <v>38</v>
      </c>
      <c r="P188" s="1" t="s">
        <v>108</v>
      </c>
      <c r="Q188" s="1" t="s">
        <v>41</v>
      </c>
      <c r="R188" s="1" t="s">
        <v>173</v>
      </c>
      <c r="S188" s="1" t="s">
        <v>38</v>
      </c>
      <c r="T188" s="1" t="s">
        <v>174</v>
      </c>
      <c r="V188" s="1">
        <v>673</v>
      </c>
      <c r="W188" s="1">
        <f t="shared" si="13"/>
        <v>0</v>
      </c>
      <c r="Y188" s="1">
        <v>448</v>
      </c>
      <c r="Z188" s="1">
        <f t="shared" si="14"/>
        <v>0</v>
      </c>
    </row>
    <row r="189" spans="1:31">
      <c r="B189" s="1" t="s">
        <v>199</v>
      </c>
      <c r="U189" s="1">
        <v>598</v>
      </c>
      <c r="W189" s="1">
        <f>U189/V188*100</f>
        <v>88.855869242199105</v>
      </c>
      <c r="X189" s="1">
        <v>408</v>
      </c>
      <c r="Z189" s="1">
        <f>X189/Y188*100</f>
        <v>91.071428571428569</v>
      </c>
      <c r="AA189" s="1">
        <f>SUM(U189,X189)</f>
        <v>1006</v>
      </c>
      <c r="AB189" s="1">
        <v>1121</v>
      </c>
      <c r="AC189" s="1">
        <f t="shared" si="15"/>
        <v>89.741302408563783</v>
      </c>
      <c r="AD189" s="1" t="s">
        <v>45</v>
      </c>
      <c r="AE189" s="1" t="s">
        <v>131</v>
      </c>
    </row>
    <row r="190" spans="1:31">
      <c r="B190" s="1" t="s">
        <v>195</v>
      </c>
      <c r="U190" s="1">
        <v>546</v>
      </c>
      <c r="W190" s="1">
        <f>U190/V188*100</f>
        <v>81.129271916790486</v>
      </c>
      <c r="X190" s="1">
        <v>363</v>
      </c>
      <c r="Z190" s="1">
        <f>X190/Y188*100</f>
        <v>81.026785714285708</v>
      </c>
      <c r="AA190" s="1">
        <f>SUM(U190,X190)</f>
        <v>909</v>
      </c>
      <c r="AB190" s="1">
        <v>1121</v>
      </c>
      <c r="AC190" s="1">
        <f t="shared" si="15"/>
        <v>81.088314005352373</v>
      </c>
      <c r="AD190" s="1" t="s">
        <v>45</v>
      </c>
      <c r="AE190" s="1" t="s">
        <v>131</v>
      </c>
    </row>
    <row r="191" spans="1:31">
      <c r="B191" s="1" t="s">
        <v>99</v>
      </c>
      <c r="U191" s="1">
        <v>321</v>
      </c>
      <c r="W191" s="1">
        <f>U191/V188*100</f>
        <v>47.696879643387817</v>
      </c>
      <c r="X191" s="1">
        <v>210</v>
      </c>
      <c r="Z191" s="1">
        <f>X191/Y188*100</f>
        <v>46.875</v>
      </c>
      <c r="AA191" s="1">
        <f>SUM(U191,X191)</f>
        <v>531</v>
      </c>
      <c r="AB191" s="1">
        <v>1121</v>
      </c>
      <c r="AC191" s="1">
        <f t="shared" si="15"/>
        <v>47.368421052631575</v>
      </c>
      <c r="AD191" s="1" t="s">
        <v>45</v>
      </c>
      <c r="AE191" s="1" t="s">
        <v>131</v>
      </c>
    </row>
    <row r="193" spans="1:31">
      <c r="A193" s="1" t="s">
        <v>202</v>
      </c>
      <c r="B193" s="1" t="s">
        <v>200</v>
      </c>
    </row>
    <row r="194" spans="1:31">
      <c r="B194" s="1" t="s">
        <v>32</v>
      </c>
      <c r="U194" s="1">
        <v>186</v>
      </c>
      <c r="V194" s="1">
        <v>807</v>
      </c>
      <c r="W194" s="1">
        <f t="shared" si="13"/>
        <v>23.048327137546469</v>
      </c>
      <c r="X194" s="1">
        <v>31</v>
      </c>
      <c r="Y194" s="1">
        <v>524</v>
      </c>
      <c r="Z194" s="1">
        <f t="shared" si="14"/>
        <v>5.9160305343511448</v>
      </c>
      <c r="AA194" s="1">
        <f>SUM(U194,X194)</f>
        <v>217</v>
      </c>
      <c r="AB194" s="1">
        <v>1331</v>
      </c>
      <c r="AC194" s="1">
        <f t="shared" si="15"/>
        <v>16.303531179564239</v>
      </c>
      <c r="AD194" s="1" t="s">
        <v>128</v>
      </c>
      <c r="AE194" s="1" t="s">
        <v>129</v>
      </c>
    </row>
    <row r="195" spans="1:31">
      <c r="B195" s="1" t="s">
        <v>86</v>
      </c>
    </row>
    <row r="196" spans="1:31">
      <c r="B196" s="1" t="s">
        <v>64</v>
      </c>
    </row>
    <row r="197" spans="1:31">
      <c r="B197" s="1" t="s">
        <v>33</v>
      </c>
      <c r="V197" s="1">
        <v>807</v>
      </c>
      <c r="Y197" s="1">
        <v>524</v>
      </c>
      <c r="Z197" s="1">
        <f t="shared" si="14"/>
        <v>0</v>
      </c>
    </row>
    <row r="198" spans="1:31">
      <c r="B198" s="1" t="s">
        <v>199</v>
      </c>
      <c r="U198" s="1">
        <v>783</v>
      </c>
      <c r="W198" s="1">
        <f>U198/V197*100</f>
        <v>97.026022304832722</v>
      </c>
      <c r="X198" s="1">
        <v>509</v>
      </c>
      <c r="Z198" s="1">
        <f>X198/Y197*100</f>
        <v>97.137404580152676</v>
      </c>
      <c r="AA198" s="1">
        <f>SUM(U198,X198)</f>
        <v>1292</v>
      </c>
      <c r="AB198" s="1">
        <v>1331</v>
      </c>
      <c r="AC198" s="1">
        <f t="shared" si="15"/>
        <v>97.069872276483849</v>
      </c>
      <c r="AD198" s="1" t="s">
        <v>45</v>
      </c>
      <c r="AE198" s="1" t="s">
        <v>131</v>
      </c>
    </row>
    <row r="199" spans="1:31">
      <c r="B199" s="1" t="s">
        <v>195</v>
      </c>
      <c r="U199" s="1">
        <v>706</v>
      </c>
      <c r="W199" s="1">
        <f>U199/V197*100</f>
        <v>87.48451053283766</v>
      </c>
      <c r="X199" s="1">
        <v>447</v>
      </c>
      <c r="Z199" s="1">
        <f>X199/Y197*100</f>
        <v>85.305343511450388</v>
      </c>
      <c r="AA199" s="1">
        <f>SUM(U199,X199)</f>
        <v>1153</v>
      </c>
      <c r="AB199" s="1">
        <v>1331</v>
      </c>
      <c r="AC199" s="1">
        <f t="shared" si="15"/>
        <v>86.626596543951919</v>
      </c>
      <c r="AD199" s="1" t="s">
        <v>45</v>
      </c>
      <c r="AE199" s="1" t="s">
        <v>131</v>
      </c>
    </row>
    <row r="200" spans="1:31">
      <c r="B200" s="1" t="s">
        <v>99</v>
      </c>
      <c r="U200" s="1">
        <v>492</v>
      </c>
      <c r="W200" s="1">
        <f>U200/V197*100</f>
        <v>60.966542750929364</v>
      </c>
      <c r="X200" s="1">
        <v>280</v>
      </c>
      <c r="Z200" s="1">
        <f>X200/Y197*100</f>
        <v>53.435114503816791</v>
      </c>
      <c r="AA200" s="1">
        <f>SUM(U200,X200)</f>
        <v>772</v>
      </c>
      <c r="AB200" s="1">
        <v>1331</v>
      </c>
      <c r="AC200" s="1">
        <f t="shared" ref="AC200:AC222" si="17">AA200/AB200*100</f>
        <v>58.001502629601795</v>
      </c>
      <c r="AD200" s="1" t="s">
        <v>45</v>
      </c>
      <c r="AE200" s="1" t="s">
        <v>131</v>
      </c>
    </row>
    <row r="202" spans="1:31">
      <c r="A202" s="1" t="s">
        <v>203</v>
      </c>
      <c r="B202" s="1" t="s">
        <v>204</v>
      </c>
    </row>
    <row r="203" spans="1:31">
      <c r="B203" s="1" t="s">
        <v>32</v>
      </c>
      <c r="C203" s="1" t="s">
        <v>37</v>
      </c>
      <c r="D203" s="1" t="s">
        <v>40</v>
      </c>
      <c r="E203" s="1" t="s">
        <v>206</v>
      </c>
      <c r="F203" s="1" t="s">
        <v>37</v>
      </c>
      <c r="G203" s="1" t="s">
        <v>40</v>
      </c>
      <c r="H203" s="1" t="s">
        <v>207</v>
      </c>
      <c r="I203" s="1" t="s">
        <v>41</v>
      </c>
      <c r="J203" s="1" t="s">
        <v>171</v>
      </c>
      <c r="K203" s="1" t="s">
        <v>38</v>
      </c>
      <c r="L203" s="1" t="s">
        <v>106</v>
      </c>
      <c r="M203" s="1" t="s">
        <v>41</v>
      </c>
      <c r="N203" s="1" t="s">
        <v>172</v>
      </c>
      <c r="O203" s="1" t="s">
        <v>38</v>
      </c>
      <c r="P203" s="1" t="s">
        <v>108</v>
      </c>
      <c r="Q203" s="1" t="s">
        <v>41</v>
      </c>
      <c r="R203" s="1" t="s">
        <v>173</v>
      </c>
      <c r="S203" s="1" t="s">
        <v>38</v>
      </c>
      <c r="T203" s="1" t="s">
        <v>174</v>
      </c>
      <c r="V203" s="1">
        <v>588</v>
      </c>
      <c r="Y203" s="1">
        <v>594</v>
      </c>
      <c r="AB203" s="1">
        <f>SUM(V203,Y203)</f>
        <v>1182</v>
      </c>
      <c r="AE203" s="1" t="s">
        <v>61</v>
      </c>
    </row>
    <row r="204" spans="1:31">
      <c r="B204" s="1" t="s">
        <v>73</v>
      </c>
      <c r="U204" s="1">
        <v>157</v>
      </c>
      <c r="W204" s="1">
        <f>U204/V203*100</f>
        <v>26.700680272108844</v>
      </c>
      <c r="X204" s="1">
        <v>134</v>
      </c>
      <c r="Z204" s="1">
        <f>X204/Y203*100</f>
        <v>22.558922558922561</v>
      </c>
      <c r="AA204" s="1">
        <f>SUM(U204,X204)</f>
        <v>291</v>
      </c>
      <c r="AC204" s="1">
        <f>AA204/AB203*100</f>
        <v>24.61928934010152</v>
      </c>
      <c r="AD204" s="1" t="s">
        <v>45</v>
      </c>
      <c r="AE204" s="1" t="s">
        <v>131</v>
      </c>
    </row>
    <row r="205" spans="1:31">
      <c r="B205" s="1" t="s">
        <v>64</v>
      </c>
      <c r="U205" s="1">
        <v>159</v>
      </c>
      <c r="W205" s="1">
        <f>U205/V203*100</f>
        <v>27.040816326530614</v>
      </c>
      <c r="X205" s="1">
        <v>129</v>
      </c>
      <c r="Z205" s="1">
        <f>X205/Y203*100</f>
        <v>21.71717171717172</v>
      </c>
      <c r="AA205" s="1">
        <f>SUM(U205,X205)</f>
        <v>288</v>
      </c>
      <c r="AC205" s="1">
        <f>AA205/AB203*100</f>
        <v>24.36548223350254</v>
      </c>
      <c r="AD205" s="1" t="s">
        <v>45</v>
      </c>
      <c r="AE205" s="1" t="s">
        <v>131</v>
      </c>
    </row>
    <row r="206" spans="1:31">
      <c r="B206" s="1" t="s">
        <v>33</v>
      </c>
      <c r="C206" s="1" t="s">
        <v>37</v>
      </c>
      <c r="D206" s="1" t="s">
        <v>40</v>
      </c>
      <c r="E206" s="1" t="s">
        <v>206</v>
      </c>
      <c r="F206" s="1" t="s">
        <v>37</v>
      </c>
      <c r="G206" s="1" t="s">
        <v>40</v>
      </c>
      <c r="H206" s="1" t="s">
        <v>207</v>
      </c>
      <c r="I206" s="1" t="s">
        <v>41</v>
      </c>
      <c r="J206" s="1" t="s">
        <v>171</v>
      </c>
      <c r="K206" s="1" t="s">
        <v>38</v>
      </c>
      <c r="L206" s="1" t="s">
        <v>106</v>
      </c>
      <c r="M206" s="1" t="s">
        <v>41</v>
      </c>
      <c r="N206" s="1" t="s">
        <v>172</v>
      </c>
      <c r="O206" s="1" t="s">
        <v>38</v>
      </c>
      <c r="P206" s="1" t="s">
        <v>108</v>
      </c>
      <c r="Q206" s="1" t="s">
        <v>41</v>
      </c>
      <c r="R206" s="1" t="s">
        <v>173</v>
      </c>
      <c r="S206" s="1" t="s">
        <v>38</v>
      </c>
      <c r="T206" s="1" t="s">
        <v>174</v>
      </c>
    </row>
    <row r="207" spans="1:31">
      <c r="B207" s="1" t="s">
        <v>205</v>
      </c>
      <c r="U207" s="1">
        <v>155</v>
      </c>
      <c r="V207" s="1">
        <v>588</v>
      </c>
      <c r="W207" s="1">
        <f>U207/V207*100</f>
        <v>26.360544217687078</v>
      </c>
      <c r="X207" s="1">
        <v>123</v>
      </c>
      <c r="Y207" s="1">
        <v>594</v>
      </c>
      <c r="Z207" s="1">
        <f t="shared" ref="Z207:Z218" si="18">X207/Y207*100</f>
        <v>20.707070707070706</v>
      </c>
      <c r="AA207" s="1">
        <f t="shared" ref="AA207:AB209" si="19">SUM(U207,X207)</f>
        <v>278</v>
      </c>
      <c r="AB207" s="1">
        <f t="shared" si="19"/>
        <v>1182</v>
      </c>
      <c r="AC207" s="1">
        <f t="shared" si="17"/>
        <v>23.519458544839257</v>
      </c>
      <c r="AD207" s="1" t="s">
        <v>45</v>
      </c>
      <c r="AE207" s="1" t="s">
        <v>131</v>
      </c>
    </row>
    <row r="208" spans="1:31">
      <c r="B208" s="1" t="s">
        <v>214</v>
      </c>
      <c r="U208" s="1">
        <v>44</v>
      </c>
      <c r="V208" s="1">
        <v>622</v>
      </c>
      <c r="W208" s="1">
        <f>U208/V208*100</f>
        <v>7.07395498392283</v>
      </c>
      <c r="X208" s="1">
        <v>44</v>
      </c>
      <c r="Y208" s="1">
        <v>698</v>
      </c>
      <c r="Z208" s="1">
        <f t="shared" si="18"/>
        <v>6.303724928366762</v>
      </c>
      <c r="AA208" s="1">
        <f t="shared" si="19"/>
        <v>88</v>
      </c>
      <c r="AB208" s="1">
        <f t="shared" si="19"/>
        <v>1320</v>
      </c>
      <c r="AC208" s="1">
        <f t="shared" si="17"/>
        <v>6.666666666666667</v>
      </c>
      <c r="AD208" s="1" t="s">
        <v>40</v>
      </c>
      <c r="AE208" s="1" t="s">
        <v>111</v>
      </c>
    </row>
    <row r="209" spans="1:31">
      <c r="B209" s="1" t="s">
        <v>99</v>
      </c>
      <c r="U209" s="1">
        <v>207</v>
      </c>
      <c r="V209" s="1">
        <v>588</v>
      </c>
      <c r="W209" s="1">
        <f>U209/V209*100</f>
        <v>35.204081632653065</v>
      </c>
      <c r="X209" s="1">
        <v>180</v>
      </c>
      <c r="Y209" s="1">
        <v>594</v>
      </c>
      <c r="Z209" s="1">
        <f t="shared" si="18"/>
        <v>30.303030303030305</v>
      </c>
      <c r="AA209" s="1">
        <f t="shared" si="19"/>
        <v>387</v>
      </c>
      <c r="AB209" s="1">
        <f t="shared" si="19"/>
        <v>1182</v>
      </c>
      <c r="AC209" s="1">
        <f t="shared" si="17"/>
        <v>32.741116751269033</v>
      </c>
      <c r="AD209" s="1" t="s">
        <v>45</v>
      </c>
      <c r="AE209" s="1" t="s">
        <v>131</v>
      </c>
    </row>
    <row r="211" spans="1:31">
      <c r="A211" s="1" t="s">
        <v>208</v>
      </c>
      <c r="AE211" s="1" t="s">
        <v>61</v>
      </c>
    </row>
    <row r="212" spans="1:31">
      <c r="A212" s="1" t="s">
        <v>211</v>
      </c>
      <c r="B212" s="1" t="s">
        <v>209</v>
      </c>
      <c r="C212" s="1" t="s">
        <v>37</v>
      </c>
      <c r="D212" s="1" t="s">
        <v>40</v>
      </c>
      <c r="E212" s="1" t="s">
        <v>210</v>
      </c>
      <c r="F212" s="1" t="s">
        <v>37</v>
      </c>
      <c r="G212" s="1" t="s">
        <v>40</v>
      </c>
      <c r="H212" s="1" t="s">
        <v>207</v>
      </c>
      <c r="I212" s="1" t="s">
        <v>41</v>
      </c>
      <c r="J212" s="1" t="s">
        <v>171</v>
      </c>
      <c r="K212" s="1" t="s">
        <v>38</v>
      </c>
      <c r="L212" s="1" t="s">
        <v>106</v>
      </c>
      <c r="M212" s="1" t="s">
        <v>41</v>
      </c>
      <c r="N212" s="1" t="s">
        <v>172</v>
      </c>
      <c r="O212" s="1" t="s">
        <v>38</v>
      </c>
      <c r="P212" s="1" t="s">
        <v>108</v>
      </c>
      <c r="Q212" s="1" t="s">
        <v>41</v>
      </c>
      <c r="R212" s="1" t="s">
        <v>173</v>
      </c>
      <c r="S212" s="1" t="s">
        <v>38</v>
      </c>
      <c r="T212" s="1" t="s">
        <v>174</v>
      </c>
      <c r="U212" s="1">
        <v>8</v>
      </c>
      <c r="V212" s="1">
        <v>658</v>
      </c>
      <c r="W212" s="1">
        <f>U212/V212*100</f>
        <v>1.21580547112462</v>
      </c>
      <c r="X212" s="1">
        <v>10</v>
      </c>
      <c r="Y212" s="1">
        <v>441</v>
      </c>
      <c r="Z212" s="1">
        <f t="shared" si="18"/>
        <v>2.2675736961451247</v>
      </c>
      <c r="AA212" s="1">
        <v>18</v>
      </c>
      <c r="AB212" s="1">
        <v>1099</v>
      </c>
      <c r="AC212" s="1">
        <f t="shared" si="17"/>
        <v>1.6378525932666061</v>
      </c>
      <c r="AD212" s="1" t="s">
        <v>40</v>
      </c>
      <c r="AE212" s="1" t="s">
        <v>111</v>
      </c>
    </row>
    <row r="213" spans="1:31">
      <c r="B213" s="1" t="s">
        <v>32</v>
      </c>
    </row>
    <row r="214" spans="1:31">
      <c r="B214" s="1" t="s">
        <v>86</v>
      </c>
      <c r="C214" s="1" t="s">
        <v>37</v>
      </c>
      <c r="D214" s="1" t="s">
        <v>40</v>
      </c>
      <c r="E214" s="1" t="s">
        <v>210</v>
      </c>
      <c r="F214" s="1" t="s">
        <v>37</v>
      </c>
      <c r="G214" s="1" t="s">
        <v>40</v>
      </c>
      <c r="H214" s="1" t="s">
        <v>207</v>
      </c>
      <c r="I214" s="1" t="s">
        <v>41</v>
      </c>
      <c r="J214" s="1" t="s">
        <v>171</v>
      </c>
      <c r="K214" s="1" t="s">
        <v>38</v>
      </c>
      <c r="L214" s="1" t="s">
        <v>106</v>
      </c>
      <c r="M214" s="1" t="s">
        <v>41</v>
      </c>
      <c r="N214" s="1" t="s">
        <v>172</v>
      </c>
      <c r="O214" s="1" t="s">
        <v>38</v>
      </c>
      <c r="P214" s="1" t="s">
        <v>108</v>
      </c>
      <c r="Q214" s="1" t="s">
        <v>41</v>
      </c>
      <c r="R214" s="1" t="s">
        <v>173</v>
      </c>
      <c r="S214" s="1" t="s">
        <v>38</v>
      </c>
      <c r="T214" s="1" t="s">
        <v>174</v>
      </c>
    </row>
    <row r="215" spans="1:31">
      <c r="B215" s="1" t="s">
        <v>33</v>
      </c>
      <c r="U215" s="1">
        <v>18</v>
      </c>
      <c r="V215" s="1">
        <v>33</v>
      </c>
      <c r="W215" s="1">
        <f>U215/V215*100</f>
        <v>54.54545454545454</v>
      </c>
      <c r="X215" s="1">
        <v>12</v>
      </c>
      <c r="Y215" s="1">
        <v>24</v>
      </c>
      <c r="Z215" s="1">
        <f t="shared" si="18"/>
        <v>50</v>
      </c>
      <c r="AA215" s="1">
        <f>SUM(U215,X215)</f>
        <v>30</v>
      </c>
      <c r="AB215" s="1">
        <v>57</v>
      </c>
      <c r="AC215" s="1">
        <f t="shared" si="17"/>
        <v>52.631578947368418</v>
      </c>
      <c r="AD215" s="1" t="s">
        <v>45</v>
      </c>
      <c r="AE215" s="1" t="s">
        <v>131</v>
      </c>
    </row>
    <row r="216" spans="1:31">
      <c r="B216" s="1" t="s">
        <v>199</v>
      </c>
      <c r="U216" s="1">
        <v>128</v>
      </c>
      <c r="V216" s="1">
        <v>325</v>
      </c>
      <c r="W216" s="1">
        <f>U216/V216*100</f>
        <v>39.384615384615387</v>
      </c>
      <c r="X216" s="1">
        <v>84</v>
      </c>
      <c r="Y216" s="1">
        <v>215</v>
      </c>
      <c r="Z216" s="1">
        <f t="shared" si="18"/>
        <v>39.069767441860463</v>
      </c>
      <c r="AA216" s="1">
        <f>SUM(U216,X216)</f>
        <v>212</v>
      </c>
      <c r="AB216" s="1">
        <v>540</v>
      </c>
      <c r="AC216" s="1">
        <f t="shared" si="17"/>
        <v>39.25925925925926</v>
      </c>
      <c r="AD216" s="1" t="s">
        <v>45</v>
      </c>
      <c r="AE216" s="1" t="s">
        <v>131</v>
      </c>
    </row>
    <row r="217" spans="1:31">
      <c r="B217" s="1" t="s">
        <v>34</v>
      </c>
      <c r="U217" s="1">
        <v>25</v>
      </c>
      <c r="V217" s="1">
        <v>544</v>
      </c>
      <c r="W217" s="1">
        <f>U217/V217*100</f>
        <v>4.5955882352941178</v>
      </c>
      <c r="X217" s="1">
        <v>18</v>
      </c>
      <c r="Y217" s="1">
        <v>346</v>
      </c>
      <c r="Z217" s="1">
        <f>X217/Y217*100</f>
        <v>5.202312138728324</v>
      </c>
      <c r="AA217" s="1">
        <v>43</v>
      </c>
      <c r="AB217" s="1">
        <v>890</v>
      </c>
      <c r="AC217" s="1">
        <f>AA217/AB217*100</f>
        <v>4.8314606741573032</v>
      </c>
      <c r="AD217" s="1" t="s">
        <v>40</v>
      </c>
      <c r="AE217" s="1" t="s">
        <v>111</v>
      </c>
    </row>
    <row r="218" spans="1:31">
      <c r="A218" s="1" t="s">
        <v>212</v>
      </c>
    </row>
    <row r="219" spans="1:31">
      <c r="B219" s="1" t="s">
        <v>32</v>
      </c>
    </row>
    <row r="220" spans="1:31">
      <c r="B220" s="1" t="s">
        <v>86</v>
      </c>
    </row>
    <row r="221" spans="1:31">
      <c r="B221" s="1" t="s">
        <v>33</v>
      </c>
      <c r="AA221" s="1">
        <v>25</v>
      </c>
      <c r="AB221" s="1">
        <v>39</v>
      </c>
      <c r="AC221" s="1">
        <f t="shared" si="17"/>
        <v>64.102564102564102</v>
      </c>
      <c r="AD221" s="1" t="s">
        <v>45</v>
      </c>
      <c r="AE221" s="1" t="s">
        <v>131</v>
      </c>
    </row>
    <row r="222" spans="1:31">
      <c r="B222" s="1" t="s">
        <v>199</v>
      </c>
      <c r="AA222" s="1">
        <v>224</v>
      </c>
      <c r="AB222" s="1">
        <v>401</v>
      </c>
      <c r="AC222" s="1">
        <f t="shared" si="17"/>
        <v>55.86034912718204</v>
      </c>
      <c r="AD222" s="1" t="s">
        <v>45</v>
      </c>
      <c r="AE222" s="1" t="s">
        <v>131</v>
      </c>
    </row>
    <row r="223" spans="1:31">
      <c r="B223" s="1" t="s">
        <v>34</v>
      </c>
    </row>
  </sheetData>
  <mergeCells count="32">
    <mergeCell ref="A1:A4"/>
    <mergeCell ref="B1:B4"/>
    <mergeCell ref="C1:E1"/>
    <mergeCell ref="F1:H1"/>
    <mergeCell ref="I1:L1"/>
    <mergeCell ref="C2:C4"/>
    <mergeCell ref="D2:D4"/>
    <mergeCell ref="F2:F4"/>
    <mergeCell ref="G2:G4"/>
    <mergeCell ref="I2:I4"/>
    <mergeCell ref="K2:K4"/>
    <mergeCell ref="Q1:T1"/>
    <mergeCell ref="U1:AE1"/>
    <mergeCell ref="E2:E4"/>
    <mergeCell ref="H2:H4"/>
    <mergeCell ref="J2:J4"/>
    <mergeCell ref="L2:L4"/>
    <mergeCell ref="N2:N4"/>
    <mergeCell ref="P2:P4"/>
    <mergeCell ref="R2:R4"/>
    <mergeCell ref="T2:T4"/>
    <mergeCell ref="M1:P1"/>
    <mergeCell ref="M2:M4"/>
    <mergeCell ref="O2:O4"/>
    <mergeCell ref="Q2:Q4"/>
    <mergeCell ref="S2:S4"/>
    <mergeCell ref="AD2:AD4"/>
    <mergeCell ref="U2:AC2"/>
    <mergeCell ref="AE2:AE4"/>
    <mergeCell ref="U3:W3"/>
    <mergeCell ref="X3:Z3"/>
    <mergeCell ref="AA3:AC3"/>
  </mergeCells>
  <phoneticPr fontId="1" type="noConversion"/>
  <conditionalFormatting sqref="A1:C1 M1:M2 Q1:Q2 U1:U2">
    <cfRule type="containsBlanks" dxfId="1095" priority="1248">
      <formula>LEN(TRIM(A1))=0</formula>
    </cfRule>
  </conditionalFormatting>
  <conditionalFormatting sqref="C5:C8 F47:F51 F44:F45 C53:C85 F53:F76 I53:I99 M53:M99 Q53:Q99 F78:F85 C87:C99 F87:F99 C10:C27 F5:F27 I5:I27 M5:M27 Q5:Q27 C29:C51 F29:F42 I29:I51 M29:M51 Q29:Q51">
    <cfRule type="cellIs" dxfId="1094" priority="1182" operator="equal">
      <formula>"Definitely No"</formula>
    </cfRule>
    <cfRule type="cellIs" dxfId="1093" priority="1183" operator="equal">
      <formula>"Probably No"</formula>
    </cfRule>
    <cfRule type="cellIs" dxfId="1092" priority="1184" operator="equal">
      <formula>"Probably Yes"</formula>
    </cfRule>
    <cfRule type="cellIs" dxfId="1091" priority="1185" operator="equal">
      <formula>"Definitely Yes"</formula>
    </cfRule>
  </conditionalFormatting>
  <conditionalFormatting sqref="C2:L2">
    <cfRule type="containsBlanks" dxfId="1090" priority="1245">
      <formula>LEN(TRIM(C2))=0</formula>
    </cfRule>
  </conditionalFormatting>
  <conditionalFormatting sqref="D5:D8 AD32:AD33 G47:G51 G44:G45 AD60:AD63 AD39:AD44 S60:S99 D53:D85 G53:G76 O53:O99 G78:G85 D87:D99 G87:G99 AD65:AD69 K53:K99 AD90:AD96 AD6:AD8 AD10 AD13:AD23 D10:D27 G5:G27 K5:K27 O5:O27 S5:S27 AD25:AD26 D29:D51 G29:G42 K29:K51 O29:O51 S29:S51 AD50:AD57 AD46:AD48 AD72:AD80 AD82:AD88">
    <cfRule type="cellIs" dxfId="1089" priority="1178" operator="equal">
      <formula>"Definitely High"</formula>
    </cfRule>
    <cfRule type="cellIs" dxfId="1088" priority="1179" operator="equal">
      <formula>"Probably High"</formula>
    </cfRule>
    <cfRule type="cellIs" dxfId="1087" priority="1180" operator="equal">
      <formula>"Probably Low"</formula>
    </cfRule>
    <cfRule type="cellIs" dxfId="1086" priority="1181" operator="equal">
      <formula>"Definitely Low"</formula>
    </cfRule>
  </conditionalFormatting>
  <conditionalFormatting sqref="F1">
    <cfRule type="containsBlanks" dxfId="1085" priority="1247">
      <formula>LEN(TRIM(F1))=0</formula>
    </cfRule>
  </conditionalFormatting>
  <conditionalFormatting sqref="I1">
    <cfRule type="containsBlanks" dxfId="1084" priority="1246">
      <formula>LEN(TRIM(I1))=0</formula>
    </cfRule>
  </conditionalFormatting>
  <conditionalFormatting sqref="N2:P2">
    <cfRule type="containsBlanks" dxfId="1083" priority="1242">
      <formula>LEN(TRIM(N2))=0</formula>
    </cfRule>
  </conditionalFormatting>
  <conditionalFormatting sqref="R2:T2">
    <cfRule type="containsBlanks" dxfId="1082" priority="1238">
      <formula>LEN(TRIM(R2))=0</formula>
    </cfRule>
  </conditionalFormatting>
  <conditionalFormatting sqref="U4:AC4">
    <cfRule type="containsBlanks" dxfId="1081" priority="1236">
      <formula>LEN(TRIM(U4))=0</formula>
    </cfRule>
  </conditionalFormatting>
  <conditionalFormatting sqref="AD2:AE2">
    <cfRule type="containsBlanks" dxfId="1080" priority="1250">
      <formula>LEN(TRIM(AD2))=0</formula>
    </cfRule>
  </conditionalFormatting>
  <conditionalFormatting sqref="C9:D9">
    <cfRule type="cellIs" dxfId="1079" priority="1133" operator="equal">
      <formula>"Definitely No"</formula>
    </cfRule>
    <cfRule type="cellIs" dxfId="1078" priority="1134" operator="equal">
      <formula>"Probably No"</formula>
    </cfRule>
    <cfRule type="cellIs" dxfId="1077" priority="1135" operator="equal">
      <formula>"Probably Yes"</formula>
    </cfRule>
    <cfRule type="cellIs" dxfId="1076" priority="1136" operator="equal">
      <formula>"Definitely Yes"</formula>
    </cfRule>
  </conditionalFormatting>
  <conditionalFormatting sqref="AD28">
    <cfRule type="cellIs" dxfId="1075" priority="1129" operator="equal">
      <formula>"Definitely High"</formula>
    </cfRule>
    <cfRule type="cellIs" dxfId="1074" priority="1130" operator="equal">
      <formula>"Probably High"</formula>
    </cfRule>
    <cfRule type="cellIs" dxfId="1073" priority="1131" operator="equal">
      <formula>"Probably Low"</formula>
    </cfRule>
    <cfRule type="cellIs" dxfId="1072" priority="1132" operator="equal">
      <formula>"Definitely Low"</formula>
    </cfRule>
  </conditionalFormatting>
  <conditionalFormatting sqref="AD30">
    <cfRule type="cellIs" dxfId="1071" priority="1125" operator="equal">
      <formula>"Definitely High"</formula>
    </cfRule>
    <cfRule type="cellIs" dxfId="1070" priority="1126" operator="equal">
      <formula>"Probably High"</formula>
    </cfRule>
    <cfRule type="cellIs" dxfId="1069" priority="1127" operator="equal">
      <formula>"Probably Low"</formula>
    </cfRule>
    <cfRule type="cellIs" dxfId="1068" priority="1128" operator="equal">
      <formula>"Definitely Low"</formula>
    </cfRule>
  </conditionalFormatting>
  <conditionalFormatting sqref="AD31">
    <cfRule type="cellIs" dxfId="1067" priority="1121" operator="equal">
      <formula>"Definitely High"</formula>
    </cfRule>
    <cfRule type="cellIs" dxfId="1066" priority="1122" operator="equal">
      <formula>"Probably High"</formula>
    </cfRule>
    <cfRule type="cellIs" dxfId="1065" priority="1123" operator="equal">
      <formula>"Probably Low"</formula>
    </cfRule>
    <cfRule type="cellIs" dxfId="1064" priority="1124" operator="equal">
      <formula>"Definitely Low"</formula>
    </cfRule>
  </conditionalFormatting>
  <conditionalFormatting sqref="AD36">
    <cfRule type="cellIs" dxfId="1063" priority="1117" operator="equal">
      <formula>"Definitely High"</formula>
    </cfRule>
    <cfRule type="cellIs" dxfId="1062" priority="1118" operator="equal">
      <formula>"Probably High"</formula>
    </cfRule>
    <cfRule type="cellIs" dxfId="1061" priority="1119" operator="equal">
      <formula>"Probably Low"</formula>
    </cfRule>
    <cfRule type="cellIs" dxfId="1060" priority="1120" operator="equal">
      <formula>"Definitely Low"</formula>
    </cfRule>
  </conditionalFormatting>
  <conditionalFormatting sqref="AD37:AD38">
    <cfRule type="cellIs" dxfId="1059" priority="1113" operator="equal">
      <formula>"Definitely High"</formula>
    </cfRule>
    <cfRule type="cellIs" dxfId="1058" priority="1114" operator="equal">
      <formula>"Probably High"</formula>
    </cfRule>
    <cfRule type="cellIs" dxfId="1057" priority="1115" operator="equal">
      <formula>"Probably Low"</formula>
    </cfRule>
    <cfRule type="cellIs" dxfId="1056" priority="1116" operator="equal">
      <formula>"Definitely Low"</formula>
    </cfRule>
  </conditionalFormatting>
  <conditionalFormatting sqref="S52:S59">
    <cfRule type="cellIs" dxfId="1055" priority="1105" operator="equal">
      <formula>"Definitely High"</formula>
    </cfRule>
    <cfRule type="cellIs" dxfId="1054" priority="1106" operator="equal">
      <formula>"Probably High"</formula>
    </cfRule>
    <cfRule type="cellIs" dxfId="1053" priority="1107" operator="equal">
      <formula>"Probably Low"</formula>
    </cfRule>
    <cfRule type="cellIs" dxfId="1052" priority="1108" operator="equal">
      <formula>"Definitely Low"</formula>
    </cfRule>
  </conditionalFormatting>
  <conditionalFormatting sqref="F46">
    <cfRule type="cellIs" dxfId="1051" priority="1101" operator="equal">
      <formula>"Definitely No"</formula>
    </cfRule>
    <cfRule type="cellIs" dxfId="1050" priority="1102" operator="equal">
      <formula>"Probably No"</formula>
    </cfRule>
    <cfRule type="cellIs" dxfId="1049" priority="1103" operator="equal">
      <formula>"Probably Yes"</formula>
    </cfRule>
    <cfRule type="cellIs" dxfId="1048" priority="1104" operator="equal">
      <formula>"Definitely Yes"</formula>
    </cfRule>
  </conditionalFormatting>
  <conditionalFormatting sqref="G46">
    <cfRule type="cellIs" dxfId="1047" priority="1097" operator="equal">
      <formula>"Definitely High"</formula>
    </cfRule>
    <cfRule type="cellIs" dxfId="1046" priority="1098" operator="equal">
      <formula>"Probably High"</formula>
    </cfRule>
    <cfRule type="cellIs" dxfId="1045" priority="1099" operator="equal">
      <formula>"Probably Low"</formula>
    </cfRule>
    <cfRule type="cellIs" dxfId="1044" priority="1100" operator="equal">
      <formula>"Definitely Low"</formula>
    </cfRule>
  </conditionalFormatting>
  <conditionalFormatting sqref="F43">
    <cfRule type="cellIs" dxfId="1043" priority="1093" operator="equal">
      <formula>"Definitely No"</formula>
    </cfRule>
    <cfRule type="cellIs" dxfId="1042" priority="1094" operator="equal">
      <formula>"Probably No"</formula>
    </cfRule>
    <cfRule type="cellIs" dxfId="1041" priority="1095" operator="equal">
      <formula>"Probably Yes"</formula>
    </cfRule>
    <cfRule type="cellIs" dxfId="1040" priority="1096" operator="equal">
      <formula>"Definitely Yes"</formula>
    </cfRule>
  </conditionalFormatting>
  <conditionalFormatting sqref="G43">
    <cfRule type="cellIs" dxfId="1039" priority="1089" operator="equal">
      <formula>"Definitely High"</formula>
    </cfRule>
    <cfRule type="cellIs" dxfId="1038" priority="1090" operator="equal">
      <formula>"Probably High"</formula>
    </cfRule>
    <cfRule type="cellIs" dxfId="1037" priority="1091" operator="equal">
      <formula>"Probably Low"</formula>
    </cfRule>
    <cfRule type="cellIs" dxfId="1036" priority="1092" operator="equal">
      <formula>"Definitely Low"</formula>
    </cfRule>
  </conditionalFormatting>
  <conditionalFormatting sqref="F77">
    <cfRule type="cellIs" dxfId="1035" priority="1077" operator="equal">
      <formula>"Definitely No"</formula>
    </cfRule>
    <cfRule type="cellIs" dxfId="1034" priority="1078" operator="equal">
      <formula>"Probably No"</formula>
    </cfRule>
    <cfRule type="cellIs" dxfId="1033" priority="1079" operator="equal">
      <formula>"Probably Yes"</formula>
    </cfRule>
    <cfRule type="cellIs" dxfId="1032" priority="1080" operator="equal">
      <formula>"Definitely Yes"</formula>
    </cfRule>
  </conditionalFormatting>
  <conditionalFormatting sqref="G77">
    <cfRule type="cellIs" dxfId="1031" priority="1073" operator="equal">
      <formula>"Definitely High"</formula>
    </cfRule>
    <cfRule type="cellIs" dxfId="1030" priority="1074" operator="equal">
      <formula>"Probably High"</formula>
    </cfRule>
    <cfRule type="cellIs" dxfId="1029" priority="1075" operator="equal">
      <formula>"Probably Low"</formula>
    </cfRule>
    <cfRule type="cellIs" dxfId="1028" priority="1076" operator="equal">
      <formula>"Definitely Low"</formula>
    </cfRule>
  </conditionalFormatting>
  <conditionalFormatting sqref="C86">
    <cfRule type="cellIs" dxfId="1027" priority="1069" operator="equal">
      <formula>"Definitely No"</formula>
    </cfRule>
    <cfRule type="cellIs" dxfId="1026" priority="1070" operator="equal">
      <formula>"Probably No"</formula>
    </cfRule>
    <cfRule type="cellIs" dxfId="1025" priority="1071" operator="equal">
      <formula>"Probably Yes"</formula>
    </cfRule>
    <cfRule type="cellIs" dxfId="1024" priority="1072" operator="equal">
      <formula>"Definitely Yes"</formula>
    </cfRule>
  </conditionalFormatting>
  <conditionalFormatting sqref="D86">
    <cfRule type="cellIs" dxfId="1023" priority="1065" operator="equal">
      <formula>"Definitely High"</formula>
    </cfRule>
    <cfRule type="cellIs" dxfId="1022" priority="1066" operator="equal">
      <formula>"Probably High"</formula>
    </cfRule>
    <cfRule type="cellIs" dxfId="1021" priority="1067" operator="equal">
      <formula>"Probably Low"</formula>
    </cfRule>
    <cfRule type="cellIs" dxfId="1020" priority="1068" operator="equal">
      <formula>"Definitely Low"</formula>
    </cfRule>
  </conditionalFormatting>
  <conditionalFormatting sqref="F86">
    <cfRule type="cellIs" dxfId="1019" priority="1061" operator="equal">
      <formula>"Definitely No"</formula>
    </cfRule>
    <cfRule type="cellIs" dxfId="1018" priority="1062" operator="equal">
      <formula>"Probably No"</formula>
    </cfRule>
    <cfRule type="cellIs" dxfId="1017" priority="1063" operator="equal">
      <formula>"Probably Yes"</formula>
    </cfRule>
    <cfRule type="cellIs" dxfId="1016" priority="1064" operator="equal">
      <formula>"Definitely Yes"</formula>
    </cfRule>
  </conditionalFormatting>
  <conditionalFormatting sqref="G86">
    <cfRule type="cellIs" dxfId="1015" priority="1057" operator="equal">
      <formula>"Definitely High"</formula>
    </cfRule>
    <cfRule type="cellIs" dxfId="1014" priority="1058" operator="equal">
      <formula>"Probably High"</formula>
    </cfRule>
    <cfRule type="cellIs" dxfId="1013" priority="1059" operator="equal">
      <formula>"Probably Low"</formula>
    </cfRule>
    <cfRule type="cellIs" dxfId="1012" priority="1060" operator="equal">
      <formula>"Definitely Low"</formula>
    </cfRule>
  </conditionalFormatting>
  <conditionalFormatting sqref="AD97">
    <cfRule type="cellIs" dxfId="1011" priority="1049" operator="equal">
      <formula>"Definitely High"</formula>
    </cfRule>
    <cfRule type="cellIs" dxfId="1010" priority="1050" operator="equal">
      <formula>"Probably High"</formula>
    </cfRule>
    <cfRule type="cellIs" dxfId="1009" priority="1051" operator="equal">
      <formula>"Probably Low"</formula>
    </cfRule>
    <cfRule type="cellIs" dxfId="1008" priority="1052" operator="equal">
      <formula>"Definitely Low"</formula>
    </cfRule>
  </conditionalFormatting>
  <conditionalFormatting sqref="AD99">
    <cfRule type="cellIs" dxfId="1007" priority="1041" operator="equal">
      <formula>"Definitely High"</formula>
    </cfRule>
    <cfRule type="cellIs" dxfId="1006" priority="1042" operator="equal">
      <formula>"Probably High"</formula>
    </cfRule>
    <cfRule type="cellIs" dxfId="1005" priority="1043" operator="equal">
      <formula>"Probably Low"</formula>
    </cfRule>
    <cfRule type="cellIs" dxfId="1004" priority="1044" operator="equal">
      <formula>"Definitely Low"</formula>
    </cfRule>
  </conditionalFormatting>
  <conditionalFormatting sqref="AD100">
    <cfRule type="cellIs" dxfId="1003" priority="1037" operator="equal">
      <formula>"Definitely High"</formula>
    </cfRule>
    <cfRule type="cellIs" dxfId="1002" priority="1038" operator="equal">
      <formula>"Probably High"</formula>
    </cfRule>
    <cfRule type="cellIs" dxfId="1001" priority="1039" operator="equal">
      <formula>"Probably Low"</formula>
    </cfRule>
    <cfRule type="cellIs" dxfId="1000" priority="1040" operator="equal">
      <formula>"Definitely Low"</formula>
    </cfRule>
  </conditionalFormatting>
  <conditionalFormatting sqref="AD101">
    <cfRule type="cellIs" dxfId="999" priority="1033" operator="equal">
      <formula>"Definitely High"</formula>
    </cfRule>
    <cfRule type="cellIs" dxfId="998" priority="1034" operator="equal">
      <formula>"Probably High"</formula>
    </cfRule>
    <cfRule type="cellIs" dxfId="997" priority="1035" operator="equal">
      <formula>"Probably Low"</formula>
    </cfRule>
    <cfRule type="cellIs" dxfId="996" priority="1036" operator="equal">
      <formula>"Definitely Low"</formula>
    </cfRule>
  </conditionalFormatting>
  <conditionalFormatting sqref="C106">
    <cfRule type="cellIs" dxfId="995" priority="1021" operator="equal">
      <formula>"Definitely No"</formula>
    </cfRule>
    <cfRule type="cellIs" dxfId="994" priority="1022" operator="equal">
      <formula>"Probably No"</formula>
    </cfRule>
    <cfRule type="cellIs" dxfId="993" priority="1023" operator="equal">
      <formula>"Probably Yes"</formula>
    </cfRule>
    <cfRule type="cellIs" dxfId="992" priority="1024" operator="equal">
      <formula>"Definitely Yes"</formula>
    </cfRule>
  </conditionalFormatting>
  <conditionalFormatting sqref="D106">
    <cfRule type="cellIs" dxfId="991" priority="1017" operator="equal">
      <formula>"Definitely High"</formula>
    </cfRule>
    <cfRule type="cellIs" dxfId="990" priority="1018" operator="equal">
      <formula>"Probably High"</formula>
    </cfRule>
    <cfRule type="cellIs" dxfId="989" priority="1019" operator="equal">
      <formula>"Probably Low"</formula>
    </cfRule>
    <cfRule type="cellIs" dxfId="988" priority="1020" operator="equal">
      <formula>"Definitely Low"</formula>
    </cfRule>
  </conditionalFormatting>
  <conditionalFormatting sqref="C110:C115">
    <cfRule type="cellIs" dxfId="987" priority="1013" operator="equal">
      <formula>"Definitely No"</formula>
    </cfRule>
    <cfRule type="cellIs" dxfId="986" priority="1014" operator="equal">
      <formula>"Probably No"</formula>
    </cfRule>
    <cfRule type="cellIs" dxfId="985" priority="1015" operator="equal">
      <formula>"Probably Yes"</formula>
    </cfRule>
    <cfRule type="cellIs" dxfId="984" priority="1016" operator="equal">
      <formula>"Definitely Yes"</formula>
    </cfRule>
  </conditionalFormatting>
  <conditionalFormatting sqref="D110:D115">
    <cfRule type="cellIs" dxfId="983" priority="1009" operator="equal">
      <formula>"Definitely High"</formula>
    </cfRule>
    <cfRule type="cellIs" dxfId="982" priority="1010" operator="equal">
      <formula>"Probably High"</formula>
    </cfRule>
    <cfRule type="cellIs" dxfId="981" priority="1011" operator="equal">
      <formula>"Probably Low"</formula>
    </cfRule>
    <cfRule type="cellIs" dxfId="980" priority="1012" operator="equal">
      <formula>"Definitely Low"</formula>
    </cfRule>
  </conditionalFormatting>
  <conditionalFormatting sqref="F106">
    <cfRule type="cellIs" dxfId="979" priority="1005" operator="equal">
      <formula>"Definitely No"</formula>
    </cfRule>
    <cfRule type="cellIs" dxfId="978" priority="1006" operator="equal">
      <formula>"Probably No"</formula>
    </cfRule>
    <cfRule type="cellIs" dxfId="977" priority="1007" operator="equal">
      <formula>"Probably Yes"</formula>
    </cfRule>
    <cfRule type="cellIs" dxfId="976" priority="1008" operator="equal">
      <formula>"Definitely Yes"</formula>
    </cfRule>
  </conditionalFormatting>
  <conditionalFormatting sqref="G106">
    <cfRule type="cellIs" dxfId="975" priority="1001" operator="equal">
      <formula>"Definitely High"</formula>
    </cfRule>
    <cfRule type="cellIs" dxfId="974" priority="1002" operator="equal">
      <formula>"Probably High"</formula>
    </cfRule>
    <cfRule type="cellIs" dxfId="973" priority="1003" operator="equal">
      <formula>"Probably Low"</formula>
    </cfRule>
    <cfRule type="cellIs" dxfId="972" priority="1004" operator="equal">
      <formula>"Definitely Low"</formula>
    </cfRule>
  </conditionalFormatting>
  <conditionalFormatting sqref="F117">
    <cfRule type="cellIs" dxfId="971" priority="997" operator="equal">
      <formula>"Definitely No"</formula>
    </cfRule>
    <cfRule type="cellIs" dxfId="970" priority="998" operator="equal">
      <formula>"Probably No"</formula>
    </cfRule>
    <cfRule type="cellIs" dxfId="969" priority="999" operator="equal">
      <formula>"Probably Yes"</formula>
    </cfRule>
    <cfRule type="cellIs" dxfId="968" priority="1000" operator="equal">
      <formula>"Definitely Yes"</formula>
    </cfRule>
  </conditionalFormatting>
  <conditionalFormatting sqref="G117">
    <cfRule type="cellIs" dxfId="967" priority="993" operator="equal">
      <formula>"Definitely High"</formula>
    </cfRule>
    <cfRule type="cellIs" dxfId="966" priority="994" operator="equal">
      <formula>"Probably High"</formula>
    </cfRule>
    <cfRule type="cellIs" dxfId="965" priority="995" operator="equal">
      <formula>"Probably Low"</formula>
    </cfRule>
    <cfRule type="cellIs" dxfId="964" priority="996" operator="equal">
      <formula>"Definitely Low"</formula>
    </cfRule>
  </conditionalFormatting>
  <conditionalFormatting sqref="I106">
    <cfRule type="cellIs" dxfId="963" priority="989" operator="equal">
      <formula>"Definitely No"</formula>
    </cfRule>
    <cfRule type="cellIs" dxfId="962" priority="990" operator="equal">
      <formula>"Probably No"</formula>
    </cfRule>
    <cfRule type="cellIs" dxfId="961" priority="991" operator="equal">
      <formula>"Probably Yes"</formula>
    </cfRule>
    <cfRule type="cellIs" dxfId="960" priority="992" operator="equal">
      <formula>"Definitely Yes"</formula>
    </cfRule>
  </conditionalFormatting>
  <conditionalFormatting sqref="M106">
    <cfRule type="cellIs" dxfId="959" priority="973" operator="equal">
      <formula>"Definitely No"</formula>
    </cfRule>
    <cfRule type="cellIs" dxfId="958" priority="974" operator="equal">
      <formula>"Probably No"</formula>
    </cfRule>
    <cfRule type="cellIs" dxfId="957" priority="975" operator="equal">
      <formula>"Probably Yes"</formula>
    </cfRule>
    <cfRule type="cellIs" dxfId="956" priority="976" operator="equal">
      <formula>"Definitely Yes"</formula>
    </cfRule>
  </conditionalFormatting>
  <conditionalFormatting sqref="K106">
    <cfRule type="cellIs" dxfId="955" priority="969" operator="equal">
      <formula>"Definitely No"</formula>
    </cfRule>
    <cfRule type="cellIs" dxfId="954" priority="970" operator="equal">
      <formula>"Probably No"</formula>
    </cfRule>
    <cfRule type="cellIs" dxfId="953" priority="971" operator="equal">
      <formula>"Probably Yes"</formula>
    </cfRule>
    <cfRule type="cellIs" dxfId="952" priority="972" operator="equal">
      <formula>"Definitely Yes"</formula>
    </cfRule>
  </conditionalFormatting>
  <conditionalFormatting sqref="K110:K115">
    <cfRule type="cellIs" dxfId="951" priority="965" operator="equal">
      <formula>"Definitely No"</formula>
    </cfRule>
    <cfRule type="cellIs" dxfId="950" priority="966" operator="equal">
      <formula>"Probably No"</formula>
    </cfRule>
    <cfRule type="cellIs" dxfId="949" priority="967" operator="equal">
      <formula>"Probably Yes"</formula>
    </cfRule>
    <cfRule type="cellIs" dxfId="948" priority="968" operator="equal">
      <formula>"Definitely Yes"</formula>
    </cfRule>
  </conditionalFormatting>
  <conditionalFormatting sqref="I110:I115">
    <cfRule type="cellIs" dxfId="947" priority="961" operator="equal">
      <formula>"Definitely No"</formula>
    </cfRule>
    <cfRule type="cellIs" dxfId="946" priority="962" operator="equal">
      <formula>"Probably No"</formula>
    </cfRule>
    <cfRule type="cellIs" dxfId="945" priority="963" operator="equal">
      <formula>"Probably Yes"</formula>
    </cfRule>
    <cfRule type="cellIs" dxfId="944" priority="964" operator="equal">
      <formula>"Definitely Yes"</formula>
    </cfRule>
  </conditionalFormatting>
  <conditionalFormatting sqref="O106">
    <cfRule type="cellIs" dxfId="943" priority="957" operator="equal">
      <formula>"Definitely High"</formula>
    </cfRule>
    <cfRule type="cellIs" dxfId="942" priority="958" operator="equal">
      <formula>"Probably High"</formula>
    </cfRule>
    <cfRule type="cellIs" dxfId="941" priority="959" operator="equal">
      <formula>"Probably Low"</formula>
    </cfRule>
    <cfRule type="cellIs" dxfId="940" priority="960" operator="equal">
      <formula>"Definitely Low"</formula>
    </cfRule>
  </conditionalFormatting>
  <conditionalFormatting sqref="M110:M115">
    <cfRule type="cellIs" dxfId="939" priority="953" operator="equal">
      <formula>"Definitely No"</formula>
    </cfRule>
    <cfRule type="cellIs" dxfId="938" priority="954" operator="equal">
      <formula>"Probably No"</formula>
    </cfRule>
    <cfRule type="cellIs" dxfId="937" priority="955" operator="equal">
      <formula>"Probably Yes"</formula>
    </cfRule>
    <cfRule type="cellIs" dxfId="936" priority="956" operator="equal">
      <formula>"Definitely Yes"</formula>
    </cfRule>
  </conditionalFormatting>
  <conditionalFormatting sqref="O110:O115">
    <cfRule type="cellIs" dxfId="935" priority="949" operator="equal">
      <formula>"Definitely High"</formula>
    </cfRule>
    <cfRule type="cellIs" dxfId="934" priority="950" operator="equal">
      <formula>"Probably High"</formula>
    </cfRule>
    <cfRule type="cellIs" dxfId="933" priority="951" operator="equal">
      <formula>"Probably Low"</formula>
    </cfRule>
    <cfRule type="cellIs" dxfId="932" priority="952" operator="equal">
      <formula>"Definitely Low"</formula>
    </cfRule>
  </conditionalFormatting>
  <conditionalFormatting sqref="Q106">
    <cfRule type="cellIs" dxfId="931" priority="945" operator="equal">
      <formula>"Definitely No"</formula>
    </cfRule>
    <cfRule type="cellIs" dxfId="930" priority="946" operator="equal">
      <formula>"Probably No"</formula>
    </cfRule>
    <cfRule type="cellIs" dxfId="929" priority="947" operator="equal">
      <formula>"Probably Yes"</formula>
    </cfRule>
    <cfRule type="cellIs" dxfId="928" priority="948" operator="equal">
      <formula>"Definitely Yes"</formula>
    </cfRule>
  </conditionalFormatting>
  <conditionalFormatting sqref="Q110:Q115">
    <cfRule type="cellIs" dxfId="927" priority="941" operator="equal">
      <formula>"Definitely No"</formula>
    </cfRule>
    <cfRule type="cellIs" dxfId="926" priority="942" operator="equal">
      <formula>"Probably No"</formula>
    </cfRule>
    <cfRule type="cellIs" dxfId="925" priority="943" operator="equal">
      <formula>"Probably Yes"</formula>
    </cfRule>
    <cfRule type="cellIs" dxfId="924" priority="944" operator="equal">
      <formula>"Definitely Yes"</formula>
    </cfRule>
  </conditionalFormatting>
  <conditionalFormatting sqref="S106">
    <cfRule type="cellIs" dxfId="923" priority="937" operator="equal">
      <formula>"Definitely High"</formula>
    </cfRule>
    <cfRule type="cellIs" dxfId="922" priority="938" operator="equal">
      <formula>"Probably High"</formula>
    </cfRule>
    <cfRule type="cellIs" dxfId="921" priority="939" operator="equal">
      <formula>"Probably Low"</formula>
    </cfRule>
    <cfRule type="cellIs" dxfId="920" priority="940" operator="equal">
      <formula>"Definitely Low"</formula>
    </cfRule>
  </conditionalFormatting>
  <conditionalFormatting sqref="S110:S115">
    <cfRule type="cellIs" dxfId="919" priority="933" operator="equal">
      <formula>"Definitely High"</formula>
    </cfRule>
    <cfRule type="cellIs" dxfId="918" priority="934" operator="equal">
      <formula>"Probably High"</formula>
    </cfRule>
    <cfRule type="cellIs" dxfId="917" priority="935" operator="equal">
      <formula>"Probably Low"</formula>
    </cfRule>
    <cfRule type="cellIs" dxfId="916" priority="936" operator="equal">
      <formula>"Definitely Low"</formula>
    </cfRule>
  </conditionalFormatting>
  <conditionalFormatting sqref="AD106">
    <cfRule type="cellIs" dxfId="915" priority="929" operator="equal">
      <formula>"Definitely High"</formula>
    </cfRule>
    <cfRule type="cellIs" dxfId="914" priority="930" operator="equal">
      <formula>"Probably High"</formula>
    </cfRule>
    <cfRule type="cellIs" dxfId="913" priority="931" operator="equal">
      <formula>"Probably Low"</formula>
    </cfRule>
    <cfRule type="cellIs" dxfId="912" priority="932" operator="equal">
      <formula>"Definitely Low"</formula>
    </cfRule>
  </conditionalFormatting>
  <conditionalFormatting sqref="C117">
    <cfRule type="cellIs" dxfId="911" priority="925" operator="equal">
      <formula>"Definitely No"</formula>
    </cfRule>
    <cfRule type="cellIs" dxfId="910" priority="926" operator="equal">
      <formula>"Probably No"</formula>
    </cfRule>
    <cfRule type="cellIs" dxfId="909" priority="927" operator="equal">
      <formula>"Probably Yes"</formula>
    </cfRule>
    <cfRule type="cellIs" dxfId="908" priority="928" operator="equal">
      <formula>"Definitely Yes"</formula>
    </cfRule>
  </conditionalFormatting>
  <conditionalFormatting sqref="D117">
    <cfRule type="cellIs" dxfId="907" priority="921" operator="equal">
      <formula>"Definitely High"</formula>
    </cfRule>
    <cfRule type="cellIs" dxfId="906" priority="922" operator="equal">
      <formula>"Probably High"</formula>
    </cfRule>
    <cfRule type="cellIs" dxfId="905" priority="923" operator="equal">
      <formula>"Probably Low"</formula>
    </cfRule>
    <cfRule type="cellIs" dxfId="904" priority="924" operator="equal">
      <formula>"Definitely Low"</formula>
    </cfRule>
  </conditionalFormatting>
  <conditionalFormatting sqref="F120">
    <cfRule type="cellIs" dxfId="903" priority="917" operator="equal">
      <formula>"Definitely No"</formula>
    </cfRule>
    <cfRule type="cellIs" dxfId="902" priority="918" operator="equal">
      <formula>"Probably No"</formula>
    </cfRule>
    <cfRule type="cellIs" dxfId="901" priority="919" operator="equal">
      <formula>"Probably Yes"</formula>
    </cfRule>
    <cfRule type="cellIs" dxfId="900" priority="920" operator="equal">
      <formula>"Definitely Yes"</formula>
    </cfRule>
  </conditionalFormatting>
  <conditionalFormatting sqref="G120">
    <cfRule type="cellIs" dxfId="899" priority="913" operator="equal">
      <formula>"Definitely High"</formula>
    </cfRule>
    <cfRule type="cellIs" dxfId="898" priority="914" operator="equal">
      <formula>"Probably High"</formula>
    </cfRule>
    <cfRule type="cellIs" dxfId="897" priority="915" operator="equal">
      <formula>"Probably Low"</formula>
    </cfRule>
    <cfRule type="cellIs" dxfId="896" priority="916" operator="equal">
      <formula>"Definitely Low"</formula>
    </cfRule>
  </conditionalFormatting>
  <conditionalFormatting sqref="C120">
    <cfRule type="cellIs" dxfId="895" priority="909" operator="equal">
      <formula>"Definitely No"</formula>
    </cfRule>
    <cfRule type="cellIs" dxfId="894" priority="910" operator="equal">
      <formula>"Probably No"</formula>
    </cfRule>
    <cfRule type="cellIs" dxfId="893" priority="911" operator="equal">
      <formula>"Probably Yes"</formula>
    </cfRule>
    <cfRule type="cellIs" dxfId="892" priority="912" operator="equal">
      <formula>"Definitely Yes"</formula>
    </cfRule>
  </conditionalFormatting>
  <conditionalFormatting sqref="D120">
    <cfRule type="cellIs" dxfId="891" priority="905" operator="equal">
      <formula>"Definitely High"</formula>
    </cfRule>
    <cfRule type="cellIs" dxfId="890" priority="906" operator="equal">
      <formula>"Probably High"</formula>
    </cfRule>
    <cfRule type="cellIs" dxfId="889" priority="907" operator="equal">
      <formula>"Probably Low"</formula>
    </cfRule>
    <cfRule type="cellIs" dxfId="888" priority="908" operator="equal">
      <formula>"Definitely Low"</formula>
    </cfRule>
  </conditionalFormatting>
  <conditionalFormatting sqref="I117">
    <cfRule type="cellIs" dxfId="887" priority="901" operator="equal">
      <formula>"Definitely No"</formula>
    </cfRule>
    <cfRule type="cellIs" dxfId="886" priority="902" operator="equal">
      <formula>"Probably No"</formula>
    </cfRule>
    <cfRule type="cellIs" dxfId="885" priority="903" operator="equal">
      <formula>"Probably Yes"</formula>
    </cfRule>
    <cfRule type="cellIs" dxfId="884" priority="904" operator="equal">
      <formula>"Definitely Yes"</formula>
    </cfRule>
  </conditionalFormatting>
  <conditionalFormatting sqref="I120">
    <cfRule type="cellIs" dxfId="883" priority="897" operator="equal">
      <formula>"Definitely No"</formula>
    </cfRule>
    <cfRule type="cellIs" dxfId="882" priority="898" operator="equal">
      <formula>"Probably No"</formula>
    </cfRule>
    <cfRule type="cellIs" dxfId="881" priority="899" operator="equal">
      <formula>"Probably Yes"</formula>
    </cfRule>
    <cfRule type="cellIs" dxfId="880" priority="900" operator="equal">
      <formula>"Definitely Yes"</formula>
    </cfRule>
  </conditionalFormatting>
  <conditionalFormatting sqref="K117">
    <cfRule type="cellIs" dxfId="879" priority="893" operator="equal">
      <formula>"Definitely High"</formula>
    </cfRule>
    <cfRule type="cellIs" dxfId="878" priority="894" operator="equal">
      <formula>"Probably High"</formula>
    </cfRule>
    <cfRule type="cellIs" dxfId="877" priority="895" operator="equal">
      <formula>"Probably Low"</formula>
    </cfRule>
    <cfRule type="cellIs" dxfId="876" priority="896" operator="equal">
      <formula>"Definitely Low"</formula>
    </cfRule>
  </conditionalFormatting>
  <conditionalFormatting sqref="K120">
    <cfRule type="cellIs" dxfId="875" priority="889" operator="equal">
      <formula>"Definitely High"</formula>
    </cfRule>
    <cfRule type="cellIs" dxfId="874" priority="890" operator="equal">
      <formula>"Probably High"</formula>
    </cfRule>
    <cfRule type="cellIs" dxfId="873" priority="891" operator="equal">
      <formula>"Probably Low"</formula>
    </cfRule>
    <cfRule type="cellIs" dxfId="872" priority="892" operator="equal">
      <formula>"Definitely Low"</formula>
    </cfRule>
  </conditionalFormatting>
  <conditionalFormatting sqref="M117">
    <cfRule type="cellIs" dxfId="871" priority="885" operator="equal">
      <formula>"Definitely No"</formula>
    </cfRule>
    <cfRule type="cellIs" dxfId="870" priority="886" operator="equal">
      <formula>"Probably No"</formula>
    </cfRule>
    <cfRule type="cellIs" dxfId="869" priority="887" operator="equal">
      <formula>"Probably Yes"</formula>
    </cfRule>
    <cfRule type="cellIs" dxfId="868" priority="888" operator="equal">
      <formula>"Definitely Yes"</formula>
    </cfRule>
  </conditionalFormatting>
  <conditionalFormatting sqref="M120">
    <cfRule type="cellIs" dxfId="867" priority="881" operator="equal">
      <formula>"Definitely No"</formula>
    </cfRule>
    <cfRule type="cellIs" dxfId="866" priority="882" operator="equal">
      <formula>"Probably No"</formula>
    </cfRule>
    <cfRule type="cellIs" dxfId="865" priority="883" operator="equal">
      <formula>"Probably Yes"</formula>
    </cfRule>
    <cfRule type="cellIs" dxfId="864" priority="884" operator="equal">
      <formula>"Definitely Yes"</formula>
    </cfRule>
  </conditionalFormatting>
  <conditionalFormatting sqref="O117">
    <cfRule type="cellIs" dxfId="863" priority="877" operator="equal">
      <formula>"Definitely High"</formula>
    </cfRule>
    <cfRule type="cellIs" dxfId="862" priority="878" operator="equal">
      <formula>"Probably High"</formula>
    </cfRule>
    <cfRule type="cellIs" dxfId="861" priority="879" operator="equal">
      <formula>"Probably Low"</formula>
    </cfRule>
    <cfRule type="cellIs" dxfId="860" priority="880" operator="equal">
      <formula>"Definitely Low"</formula>
    </cfRule>
  </conditionalFormatting>
  <conditionalFormatting sqref="O120">
    <cfRule type="cellIs" dxfId="859" priority="873" operator="equal">
      <formula>"Definitely High"</formula>
    </cfRule>
    <cfRule type="cellIs" dxfId="858" priority="874" operator="equal">
      <formula>"Probably High"</formula>
    </cfRule>
    <cfRule type="cellIs" dxfId="857" priority="875" operator="equal">
      <formula>"Probably Low"</formula>
    </cfRule>
    <cfRule type="cellIs" dxfId="856" priority="876" operator="equal">
      <formula>"Definitely Low"</formula>
    </cfRule>
  </conditionalFormatting>
  <conditionalFormatting sqref="Q117">
    <cfRule type="cellIs" dxfId="855" priority="869" operator="equal">
      <formula>"Definitely No"</formula>
    </cfRule>
    <cfRule type="cellIs" dxfId="854" priority="870" operator="equal">
      <formula>"Probably No"</formula>
    </cfRule>
    <cfRule type="cellIs" dxfId="853" priority="871" operator="equal">
      <formula>"Probably Yes"</formula>
    </cfRule>
    <cfRule type="cellIs" dxfId="852" priority="872" operator="equal">
      <formula>"Definitely Yes"</formula>
    </cfRule>
  </conditionalFormatting>
  <conditionalFormatting sqref="Q120">
    <cfRule type="cellIs" dxfId="851" priority="865" operator="equal">
      <formula>"Definitely No"</formula>
    </cfRule>
    <cfRule type="cellIs" dxfId="850" priority="866" operator="equal">
      <formula>"Probably No"</formula>
    </cfRule>
    <cfRule type="cellIs" dxfId="849" priority="867" operator="equal">
      <formula>"Probably Yes"</formula>
    </cfRule>
    <cfRule type="cellIs" dxfId="848" priority="868" operator="equal">
      <formula>"Definitely Yes"</formula>
    </cfRule>
  </conditionalFormatting>
  <conditionalFormatting sqref="S117">
    <cfRule type="cellIs" dxfId="847" priority="861" operator="equal">
      <formula>"Definitely High"</formula>
    </cfRule>
    <cfRule type="cellIs" dxfId="846" priority="862" operator="equal">
      <formula>"Probably High"</formula>
    </cfRule>
    <cfRule type="cellIs" dxfId="845" priority="863" operator="equal">
      <formula>"Probably Low"</formula>
    </cfRule>
    <cfRule type="cellIs" dxfId="844" priority="864" operator="equal">
      <formula>"Definitely Low"</formula>
    </cfRule>
  </conditionalFormatting>
  <conditionalFormatting sqref="S120">
    <cfRule type="cellIs" dxfId="843" priority="857" operator="equal">
      <formula>"Definitely High"</formula>
    </cfRule>
    <cfRule type="cellIs" dxfId="842" priority="858" operator="equal">
      <formula>"Probably High"</formula>
    </cfRule>
    <cfRule type="cellIs" dxfId="841" priority="859" operator="equal">
      <formula>"Probably Low"</formula>
    </cfRule>
    <cfRule type="cellIs" dxfId="840" priority="860" operator="equal">
      <formula>"Definitely Low"</formula>
    </cfRule>
  </conditionalFormatting>
  <conditionalFormatting sqref="AD117">
    <cfRule type="cellIs" dxfId="839" priority="853" operator="equal">
      <formula>"Definitely High"</formula>
    </cfRule>
    <cfRule type="cellIs" dxfId="838" priority="854" operator="equal">
      <formula>"Probably High"</formula>
    </cfRule>
    <cfRule type="cellIs" dxfId="837" priority="855" operator="equal">
      <formula>"Probably Low"</formula>
    </cfRule>
    <cfRule type="cellIs" dxfId="836" priority="856" operator="equal">
      <formula>"Definitely Low"</formula>
    </cfRule>
  </conditionalFormatting>
  <conditionalFormatting sqref="AD123:AD125">
    <cfRule type="cellIs" dxfId="835" priority="849" operator="equal">
      <formula>"Definitely High"</formula>
    </cfRule>
    <cfRule type="cellIs" dxfId="834" priority="850" operator="equal">
      <formula>"Probably High"</formula>
    </cfRule>
    <cfRule type="cellIs" dxfId="833" priority="851" operator="equal">
      <formula>"Probably Low"</formula>
    </cfRule>
    <cfRule type="cellIs" dxfId="832" priority="852" operator="equal">
      <formula>"Definitely Low"</formula>
    </cfRule>
  </conditionalFormatting>
  <conditionalFormatting sqref="AD121">
    <cfRule type="cellIs" dxfId="831" priority="845" operator="equal">
      <formula>"Definitely High"</formula>
    </cfRule>
    <cfRule type="cellIs" dxfId="830" priority="846" operator="equal">
      <formula>"Probably High"</formula>
    </cfRule>
    <cfRule type="cellIs" dxfId="829" priority="847" operator="equal">
      <formula>"Probably Low"</formula>
    </cfRule>
    <cfRule type="cellIs" dxfId="828" priority="848" operator="equal">
      <formula>"Definitely Low"</formula>
    </cfRule>
  </conditionalFormatting>
  <conditionalFormatting sqref="AD122">
    <cfRule type="cellIs" dxfId="827" priority="841" operator="equal">
      <formula>"Definitely High"</formula>
    </cfRule>
    <cfRule type="cellIs" dxfId="826" priority="842" operator="equal">
      <formula>"Probably High"</formula>
    </cfRule>
    <cfRule type="cellIs" dxfId="825" priority="843" operator="equal">
      <formula>"Probably Low"</formula>
    </cfRule>
    <cfRule type="cellIs" dxfId="824" priority="844" operator="equal">
      <formula>"Definitely Low"</formula>
    </cfRule>
  </conditionalFormatting>
  <conditionalFormatting sqref="AD126">
    <cfRule type="cellIs" dxfId="823" priority="837" operator="equal">
      <formula>"Definitely High"</formula>
    </cfRule>
    <cfRule type="cellIs" dxfId="822" priority="838" operator="equal">
      <formula>"Probably High"</formula>
    </cfRule>
    <cfRule type="cellIs" dxfId="821" priority="839" operator="equal">
      <formula>"Probably Low"</formula>
    </cfRule>
    <cfRule type="cellIs" dxfId="820" priority="840" operator="equal">
      <formula>"Definitely Low"</formula>
    </cfRule>
  </conditionalFormatting>
  <conditionalFormatting sqref="C129">
    <cfRule type="cellIs" dxfId="819" priority="833" operator="equal">
      <formula>"Definitely No"</formula>
    </cfRule>
    <cfRule type="cellIs" dxfId="818" priority="834" operator="equal">
      <formula>"Probably No"</formula>
    </cfRule>
    <cfRule type="cellIs" dxfId="817" priority="835" operator="equal">
      <formula>"Probably Yes"</formula>
    </cfRule>
    <cfRule type="cellIs" dxfId="816" priority="836" operator="equal">
      <formula>"Definitely Yes"</formula>
    </cfRule>
  </conditionalFormatting>
  <conditionalFormatting sqref="D129">
    <cfRule type="cellIs" dxfId="815" priority="829" operator="equal">
      <formula>"Definitely High"</formula>
    </cfRule>
    <cfRule type="cellIs" dxfId="814" priority="830" operator="equal">
      <formula>"Probably High"</formula>
    </cfRule>
    <cfRule type="cellIs" dxfId="813" priority="831" operator="equal">
      <formula>"Probably Low"</formula>
    </cfRule>
    <cfRule type="cellIs" dxfId="812" priority="832" operator="equal">
      <formula>"Definitely Low"</formula>
    </cfRule>
  </conditionalFormatting>
  <conditionalFormatting sqref="C131">
    <cfRule type="cellIs" dxfId="811" priority="825" operator="equal">
      <formula>"Definitely No"</formula>
    </cfRule>
    <cfRule type="cellIs" dxfId="810" priority="826" operator="equal">
      <formula>"Probably No"</formula>
    </cfRule>
    <cfRule type="cellIs" dxfId="809" priority="827" operator="equal">
      <formula>"Probably Yes"</formula>
    </cfRule>
    <cfRule type="cellIs" dxfId="808" priority="828" operator="equal">
      <formula>"Definitely Yes"</formula>
    </cfRule>
  </conditionalFormatting>
  <conditionalFormatting sqref="D131">
    <cfRule type="cellIs" dxfId="807" priority="821" operator="equal">
      <formula>"Definitely High"</formula>
    </cfRule>
    <cfRule type="cellIs" dxfId="806" priority="822" operator="equal">
      <formula>"Probably High"</formula>
    </cfRule>
    <cfRule type="cellIs" dxfId="805" priority="823" operator="equal">
      <formula>"Probably Low"</formula>
    </cfRule>
    <cfRule type="cellIs" dxfId="804" priority="824" operator="equal">
      <formula>"Definitely Low"</formula>
    </cfRule>
  </conditionalFormatting>
  <conditionalFormatting sqref="F129">
    <cfRule type="cellIs" dxfId="803" priority="817" operator="equal">
      <formula>"Definitely No"</formula>
    </cfRule>
    <cfRule type="cellIs" dxfId="802" priority="818" operator="equal">
      <formula>"Probably No"</formula>
    </cfRule>
    <cfRule type="cellIs" dxfId="801" priority="819" operator="equal">
      <formula>"Probably Yes"</formula>
    </cfRule>
    <cfRule type="cellIs" dxfId="800" priority="820" operator="equal">
      <formula>"Definitely Yes"</formula>
    </cfRule>
  </conditionalFormatting>
  <conditionalFormatting sqref="G129">
    <cfRule type="cellIs" dxfId="799" priority="813" operator="equal">
      <formula>"Definitely High"</formula>
    </cfRule>
    <cfRule type="cellIs" dxfId="798" priority="814" operator="equal">
      <formula>"Probably High"</formula>
    </cfRule>
    <cfRule type="cellIs" dxfId="797" priority="815" operator="equal">
      <formula>"Probably Low"</formula>
    </cfRule>
    <cfRule type="cellIs" dxfId="796" priority="816" operator="equal">
      <formula>"Definitely Low"</formula>
    </cfRule>
  </conditionalFormatting>
  <conditionalFormatting sqref="F131">
    <cfRule type="cellIs" dxfId="795" priority="809" operator="equal">
      <formula>"Definitely No"</formula>
    </cfRule>
    <cfRule type="cellIs" dxfId="794" priority="810" operator="equal">
      <formula>"Probably No"</formula>
    </cfRule>
    <cfRule type="cellIs" dxfId="793" priority="811" operator="equal">
      <formula>"Probably Yes"</formula>
    </cfRule>
    <cfRule type="cellIs" dxfId="792" priority="812" operator="equal">
      <formula>"Definitely Yes"</formula>
    </cfRule>
  </conditionalFormatting>
  <conditionalFormatting sqref="G131">
    <cfRule type="cellIs" dxfId="791" priority="805" operator="equal">
      <formula>"Definitely High"</formula>
    </cfRule>
    <cfRule type="cellIs" dxfId="790" priority="806" operator="equal">
      <formula>"Probably High"</formula>
    </cfRule>
    <cfRule type="cellIs" dxfId="789" priority="807" operator="equal">
      <formula>"Probably Low"</formula>
    </cfRule>
    <cfRule type="cellIs" dxfId="788" priority="808" operator="equal">
      <formula>"Definitely Low"</formula>
    </cfRule>
  </conditionalFormatting>
  <conditionalFormatting sqref="I129">
    <cfRule type="cellIs" dxfId="787" priority="801" operator="equal">
      <formula>"Definitely No"</formula>
    </cfRule>
    <cfRule type="cellIs" dxfId="786" priority="802" operator="equal">
      <formula>"Probably No"</formula>
    </cfRule>
    <cfRule type="cellIs" dxfId="785" priority="803" operator="equal">
      <formula>"Probably Yes"</formula>
    </cfRule>
    <cfRule type="cellIs" dxfId="784" priority="804" operator="equal">
      <formula>"Definitely Yes"</formula>
    </cfRule>
  </conditionalFormatting>
  <conditionalFormatting sqref="I131">
    <cfRule type="cellIs" dxfId="783" priority="797" operator="equal">
      <formula>"Definitely No"</formula>
    </cfRule>
    <cfRule type="cellIs" dxfId="782" priority="798" operator="equal">
      <formula>"Probably No"</formula>
    </cfRule>
    <cfRule type="cellIs" dxfId="781" priority="799" operator="equal">
      <formula>"Probably Yes"</formula>
    </cfRule>
    <cfRule type="cellIs" dxfId="780" priority="800" operator="equal">
      <formula>"Definitely Yes"</formula>
    </cfRule>
  </conditionalFormatting>
  <conditionalFormatting sqref="K129">
    <cfRule type="cellIs" dxfId="779" priority="793" operator="equal">
      <formula>"Definitely High"</formula>
    </cfRule>
    <cfRule type="cellIs" dxfId="778" priority="794" operator="equal">
      <formula>"Probably High"</formula>
    </cfRule>
    <cfRule type="cellIs" dxfId="777" priority="795" operator="equal">
      <formula>"Probably Low"</formula>
    </cfRule>
    <cfRule type="cellIs" dxfId="776" priority="796" operator="equal">
      <formula>"Definitely Low"</formula>
    </cfRule>
  </conditionalFormatting>
  <conditionalFormatting sqref="K131">
    <cfRule type="cellIs" dxfId="775" priority="789" operator="equal">
      <formula>"Definitely High"</formula>
    </cfRule>
    <cfRule type="cellIs" dxfId="774" priority="790" operator="equal">
      <formula>"Probably High"</formula>
    </cfRule>
    <cfRule type="cellIs" dxfId="773" priority="791" operator="equal">
      <formula>"Probably Low"</formula>
    </cfRule>
    <cfRule type="cellIs" dxfId="772" priority="792" operator="equal">
      <formula>"Definitely Low"</formula>
    </cfRule>
  </conditionalFormatting>
  <conditionalFormatting sqref="M129">
    <cfRule type="cellIs" dxfId="771" priority="785" operator="equal">
      <formula>"Definitely No"</formula>
    </cfRule>
    <cfRule type="cellIs" dxfId="770" priority="786" operator="equal">
      <formula>"Probably No"</formula>
    </cfRule>
    <cfRule type="cellIs" dxfId="769" priority="787" operator="equal">
      <formula>"Probably Yes"</formula>
    </cfRule>
    <cfRule type="cellIs" dxfId="768" priority="788" operator="equal">
      <formula>"Definitely Yes"</formula>
    </cfRule>
  </conditionalFormatting>
  <conditionalFormatting sqref="O129">
    <cfRule type="cellIs" dxfId="767" priority="781" operator="equal">
      <formula>"Definitely High"</formula>
    </cfRule>
    <cfRule type="cellIs" dxfId="766" priority="782" operator="equal">
      <formula>"Probably High"</formula>
    </cfRule>
    <cfRule type="cellIs" dxfId="765" priority="783" operator="equal">
      <formula>"Probably Low"</formula>
    </cfRule>
    <cfRule type="cellIs" dxfId="764" priority="784" operator="equal">
      <formula>"Definitely Low"</formula>
    </cfRule>
  </conditionalFormatting>
  <conditionalFormatting sqref="M131">
    <cfRule type="cellIs" dxfId="763" priority="777" operator="equal">
      <formula>"Definitely No"</formula>
    </cfRule>
    <cfRule type="cellIs" dxfId="762" priority="778" operator="equal">
      <formula>"Probably No"</formula>
    </cfRule>
    <cfRule type="cellIs" dxfId="761" priority="779" operator="equal">
      <formula>"Probably Yes"</formula>
    </cfRule>
    <cfRule type="cellIs" dxfId="760" priority="780" operator="equal">
      <formula>"Definitely Yes"</formula>
    </cfRule>
  </conditionalFormatting>
  <conditionalFormatting sqref="O131">
    <cfRule type="cellIs" dxfId="759" priority="773" operator="equal">
      <formula>"Definitely High"</formula>
    </cfRule>
    <cfRule type="cellIs" dxfId="758" priority="774" operator="equal">
      <formula>"Probably High"</formula>
    </cfRule>
    <cfRule type="cellIs" dxfId="757" priority="775" operator="equal">
      <formula>"Probably Low"</formula>
    </cfRule>
    <cfRule type="cellIs" dxfId="756" priority="776" operator="equal">
      <formula>"Definitely Low"</formula>
    </cfRule>
  </conditionalFormatting>
  <conditionalFormatting sqref="Q129">
    <cfRule type="cellIs" dxfId="755" priority="769" operator="equal">
      <formula>"Definitely No"</formula>
    </cfRule>
    <cfRule type="cellIs" dxfId="754" priority="770" operator="equal">
      <formula>"Probably No"</formula>
    </cfRule>
    <cfRule type="cellIs" dxfId="753" priority="771" operator="equal">
      <formula>"Probably Yes"</formula>
    </cfRule>
    <cfRule type="cellIs" dxfId="752" priority="772" operator="equal">
      <formula>"Definitely Yes"</formula>
    </cfRule>
  </conditionalFormatting>
  <conditionalFormatting sqref="S129">
    <cfRule type="cellIs" dxfId="751" priority="765" operator="equal">
      <formula>"Definitely High"</formula>
    </cfRule>
    <cfRule type="cellIs" dxfId="750" priority="766" operator="equal">
      <formula>"Probably High"</formula>
    </cfRule>
    <cfRule type="cellIs" dxfId="749" priority="767" operator="equal">
      <formula>"Probably Low"</formula>
    </cfRule>
    <cfRule type="cellIs" dxfId="748" priority="768" operator="equal">
      <formula>"Definitely Low"</formula>
    </cfRule>
  </conditionalFormatting>
  <conditionalFormatting sqref="Q131">
    <cfRule type="cellIs" dxfId="747" priority="761" operator="equal">
      <formula>"Definitely No"</formula>
    </cfRule>
    <cfRule type="cellIs" dxfId="746" priority="762" operator="equal">
      <formula>"Probably No"</formula>
    </cfRule>
    <cfRule type="cellIs" dxfId="745" priority="763" operator="equal">
      <formula>"Probably Yes"</formula>
    </cfRule>
    <cfRule type="cellIs" dxfId="744" priority="764" operator="equal">
      <formula>"Definitely Yes"</formula>
    </cfRule>
  </conditionalFormatting>
  <conditionalFormatting sqref="S131">
    <cfRule type="cellIs" dxfId="743" priority="757" operator="equal">
      <formula>"Definitely High"</formula>
    </cfRule>
    <cfRule type="cellIs" dxfId="742" priority="758" operator="equal">
      <formula>"Probably High"</formula>
    </cfRule>
    <cfRule type="cellIs" dxfId="741" priority="759" operator="equal">
      <formula>"Probably Low"</formula>
    </cfRule>
    <cfRule type="cellIs" dxfId="740" priority="760" operator="equal">
      <formula>"Definitely Low"</formula>
    </cfRule>
  </conditionalFormatting>
  <conditionalFormatting sqref="AD129">
    <cfRule type="cellIs" dxfId="739" priority="753" operator="equal">
      <formula>"Definitely High"</formula>
    </cfRule>
    <cfRule type="cellIs" dxfId="738" priority="754" operator="equal">
      <formula>"Probably High"</formula>
    </cfRule>
    <cfRule type="cellIs" dxfId="737" priority="755" operator="equal">
      <formula>"Probably Low"</formula>
    </cfRule>
    <cfRule type="cellIs" dxfId="736" priority="756" operator="equal">
      <formula>"Definitely Low"</formula>
    </cfRule>
  </conditionalFormatting>
  <conditionalFormatting sqref="AD132">
    <cfRule type="cellIs" dxfId="735" priority="749" operator="equal">
      <formula>"Definitely High"</formula>
    </cfRule>
    <cfRule type="cellIs" dxfId="734" priority="750" operator="equal">
      <formula>"Probably High"</formula>
    </cfRule>
    <cfRule type="cellIs" dxfId="733" priority="751" operator="equal">
      <formula>"Probably Low"</formula>
    </cfRule>
    <cfRule type="cellIs" dxfId="732" priority="752" operator="equal">
      <formula>"Definitely Low"</formula>
    </cfRule>
  </conditionalFormatting>
  <conditionalFormatting sqref="AD133">
    <cfRule type="cellIs" dxfId="731" priority="745" operator="equal">
      <formula>"Definitely High"</formula>
    </cfRule>
    <cfRule type="cellIs" dxfId="730" priority="746" operator="equal">
      <formula>"Probably High"</formula>
    </cfRule>
    <cfRule type="cellIs" dxfId="729" priority="747" operator="equal">
      <formula>"Probably Low"</formula>
    </cfRule>
    <cfRule type="cellIs" dxfId="728" priority="748" operator="equal">
      <formula>"Definitely Low"</formula>
    </cfRule>
  </conditionalFormatting>
  <conditionalFormatting sqref="AD134">
    <cfRule type="cellIs" dxfId="727" priority="741" operator="equal">
      <formula>"Definitely High"</formula>
    </cfRule>
    <cfRule type="cellIs" dxfId="726" priority="742" operator="equal">
      <formula>"Probably High"</formula>
    </cfRule>
    <cfRule type="cellIs" dxfId="725" priority="743" operator="equal">
      <formula>"Probably Low"</formula>
    </cfRule>
    <cfRule type="cellIs" dxfId="724" priority="744" operator="equal">
      <formula>"Definitely Low"</formula>
    </cfRule>
  </conditionalFormatting>
  <conditionalFormatting sqref="AD135">
    <cfRule type="cellIs" dxfId="723" priority="737" operator="equal">
      <formula>"Definitely High"</formula>
    </cfRule>
    <cfRule type="cellIs" dxfId="722" priority="738" operator="equal">
      <formula>"Probably High"</formula>
    </cfRule>
    <cfRule type="cellIs" dxfId="721" priority="739" operator="equal">
      <formula>"Probably Low"</formula>
    </cfRule>
    <cfRule type="cellIs" dxfId="720" priority="740" operator="equal">
      <formula>"Definitely Low"</formula>
    </cfRule>
  </conditionalFormatting>
  <conditionalFormatting sqref="AD136">
    <cfRule type="cellIs" dxfId="719" priority="733" operator="equal">
      <formula>"Definitely High"</formula>
    </cfRule>
    <cfRule type="cellIs" dxfId="718" priority="734" operator="equal">
      <formula>"Probably High"</formula>
    </cfRule>
    <cfRule type="cellIs" dxfId="717" priority="735" operator="equal">
      <formula>"Probably Low"</formula>
    </cfRule>
    <cfRule type="cellIs" dxfId="716" priority="736" operator="equal">
      <formula>"Definitely Low"</formula>
    </cfRule>
  </conditionalFormatting>
  <conditionalFormatting sqref="C139">
    <cfRule type="cellIs" dxfId="715" priority="729" operator="equal">
      <formula>"Definitely No"</formula>
    </cfRule>
    <cfRule type="cellIs" dxfId="714" priority="730" operator="equal">
      <formula>"Probably No"</formula>
    </cfRule>
    <cfRule type="cellIs" dxfId="713" priority="731" operator="equal">
      <formula>"Probably Yes"</formula>
    </cfRule>
    <cfRule type="cellIs" dxfId="712" priority="732" operator="equal">
      <formula>"Definitely Yes"</formula>
    </cfRule>
  </conditionalFormatting>
  <conditionalFormatting sqref="D139">
    <cfRule type="cellIs" dxfId="711" priority="725" operator="equal">
      <formula>"Definitely High"</formula>
    </cfRule>
    <cfRule type="cellIs" dxfId="710" priority="726" operator="equal">
      <formula>"Probably High"</formula>
    </cfRule>
    <cfRule type="cellIs" dxfId="709" priority="727" operator="equal">
      <formula>"Probably Low"</formula>
    </cfRule>
    <cfRule type="cellIs" dxfId="708" priority="728" operator="equal">
      <formula>"Definitely Low"</formula>
    </cfRule>
  </conditionalFormatting>
  <conditionalFormatting sqref="F139">
    <cfRule type="cellIs" dxfId="707" priority="721" operator="equal">
      <formula>"Definitely No"</formula>
    </cfRule>
    <cfRule type="cellIs" dxfId="706" priority="722" operator="equal">
      <formula>"Probably No"</formula>
    </cfRule>
    <cfRule type="cellIs" dxfId="705" priority="723" operator="equal">
      <formula>"Probably Yes"</formula>
    </cfRule>
    <cfRule type="cellIs" dxfId="704" priority="724" operator="equal">
      <formula>"Definitely Yes"</formula>
    </cfRule>
  </conditionalFormatting>
  <conditionalFormatting sqref="G139">
    <cfRule type="cellIs" dxfId="703" priority="717" operator="equal">
      <formula>"Definitely High"</formula>
    </cfRule>
    <cfRule type="cellIs" dxfId="702" priority="718" operator="equal">
      <formula>"Probably High"</formula>
    </cfRule>
    <cfRule type="cellIs" dxfId="701" priority="719" operator="equal">
      <formula>"Probably Low"</formula>
    </cfRule>
    <cfRule type="cellIs" dxfId="700" priority="720" operator="equal">
      <formula>"Definitely Low"</formula>
    </cfRule>
  </conditionalFormatting>
  <conditionalFormatting sqref="AD144">
    <cfRule type="cellIs" dxfId="699" priority="625" operator="equal">
      <formula>"Definitely High"</formula>
    </cfRule>
    <cfRule type="cellIs" dxfId="698" priority="626" operator="equal">
      <formula>"Probably High"</formula>
    </cfRule>
    <cfRule type="cellIs" dxfId="697" priority="627" operator="equal">
      <formula>"Probably Low"</formula>
    </cfRule>
    <cfRule type="cellIs" dxfId="696" priority="628" operator="equal">
      <formula>"Definitely Low"</formula>
    </cfRule>
  </conditionalFormatting>
  <conditionalFormatting sqref="AD146">
    <cfRule type="cellIs" dxfId="695" priority="617" operator="equal">
      <formula>"Definitely High"</formula>
    </cfRule>
    <cfRule type="cellIs" dxfId="694" priority="618" operator="equal">
      <formula>"Probably High"</formula>
    </cfRule>
    <cfRule type="cellIs" dxfId="693" priority="619" operator="equal">
      <formula>"Probably Low"</formula>
    </cfRule>
    <cfRule type="cellIs" dxfId="692" priority="620" operator="equal">
      <formula>"Definitely Low"</formula>
    </cfRule>
  </conditionalFormatting>
  <conditionalFormatting sqref="C142">
    <cfRule type="cellIs" dxfId="691" priority="701" operator="equal">
      <formula>"Definitely No"</formula>
    </cfRule>
    <cfRule type="cellIs" dxfId="690" priority="702" operator="equal">
      <formula>"Probably No"</formula>
    </cfRule>
    <cfRule type="cellIs" dxfId="689" priority="703" operator="equal">
      <formula>"Probably Yes"</formula>
    </cfRule>
    <cfRule type="cellIs" dxfId="688" priority="704" operator="equal">
      <formula>"Definitely Yes"</formula>
    </cfRule>
  </conditionalFormatting>
  <conditionalFormatting sqref="D142">
    <cfRule type="cellIs" dxfId="687" priority="697" operator="equal">
      <formula>"Definitely High"</formula>
    </cfRule>
    <cfRule type="cellIs" dxfId="686" priority="698" operator="equal">
      <formula>"Probably High"</formula>
    </cfRule>
    <cfRule type="cellIs" dxfId="685" priority="699" operator="equal">
      <formula>"Probably Low"</formula>
    </cfRule>
    <cfRule type="cellIs" dxfId="684" priority="700" operator="equal">
      <formula>"Definitely Low"</formula>
    </cfRule>
  </conditionalFormatting>
  <conditionalFormatting sqref="F142">
    <cfRule type="cellIs" dxfId="683" priority="693" operator="equal">
      <formula>"Definitely No"</formula>
    </cfRule>
    <cfRule type="cellIs" dxfId="682" priority="694" operator="equal">
      <formula>"Probably No"</formula>
    </cfRule>
    <cfRule type="cellIs" dxfId="681" priority="695" operator="equal">
      <formula>"Probably Yes"</formula>
    </cfRule>
    <cfRule type="cellIs" dxfId="680" priority="696" operator="equal">
      <formula>"Definitely Yes"</formula>
    </cfRule>
  </conditionalFormatting>
  <conditionalFormatting sqref="G142">
    <cfRule type="cellIs" dxfId="679" priority="689" operator="equal">
      <formula>"Definitely High"</formula>
    </cfRule>
    <cfRule type="cellIs" dxfId="678" priority="690" operator="equal">
      <formula>"Probably High"</formula>
    </cfRule>
    <cfRule type="cellIs" dxfId="677" priority="691" operator="equal">
      <formula>"Probably Low"</formula>
    </cfRule>
    <cfRule type="cellIs" dxfId="676" priority="692" operator="equal">
      <formula>"Definitely Low"</formula>
    </cfRule>
  </conditionalFormatting>
  <conditionalFormatting sqref="I139">
    <cfRule type="cellIs" dxfId="675" priority="685" operator="equal">
      <formula>"Definitely No"</formula>
    </cfRule>
    <cfRule type="cellIs" dxfId="674" priority="686" operator="equal">
      <formula>"Probably No"</formula>
    </cfRule>
    <cfRule type="cellIs" dxfId="673" priority="687" operator="equal">
      <formula>"Probably Yes"</formula>
    </cfRule>
    <cfRule type="cellIs" dxfId="672" priority="688" operator="equal">
      <formula>"Definitely Yes"</formula>
    </cfRule>
  </conditionalFormatting>
  <conditionalFormatting sqref="K139">
    <cfRule type="cellIs" dxfId="671" priority="681" operator="equal">
      <formula>"Definitely No"</formula>
    </cfRule>
    <cfRule type="cellIs" dxfId="670" priority="682" operator="equal">
      <formula>"Probably No"</formula>
    </cfRule>
    <cfRule type="cellIs" dxfId="669" priority="683" operator="equal">
      <formula>"Probably Yes"</formula>
    </cfRule>
    <cfRule type="cellIs" dxfId="668" priority="684" operator="equal">
      <formula>"Definitely Yes"</formula>
    </cfRule>
  </conditionalFormatting>
  <conditionalFormatting sqref="I142">
    <cfRule type="cellIs" dxfId="667" priority="677" operator="equal">
      <formula>"Definitely No"</formula>
    </cfRule>
    <cfRule type="cellIs" dxfId="666" priority="678" operator="equal">
      <formula>"Probably No"</formula>
    </cfRule>
    <cfRule type="cellIs" dxfId="665" priority="679" operator="equal">
      <formula>"Probably Yes"</formula>
    </cfRule>
    <cfRule type="cellIs" dxfId="664" priority="680" operator="equal">
      <formula>"Definitely Yes"</formula>
    </cfRule>
  </conditionalFormatting>
  <conditionalFormatting sqref="K142">
    <cfRule type="cellIs" dxfId="663" priority="673" operator="equal">
      <formula>"Definitely No"</formula>
    </cfRule>
    <cfRule type="cellIs" dxfId="662" priority="674" operator="equal">
      <formula>"Probably No"</formula>
    </cfRule>
    <cfRule type="cellIs" dxfId="661" priority="675" operator="equal">
      <formula>"Probably Yes"</formula>
    </cfRule>
    <cfRule type="cellIs" dxfId="660" priority="676" operator="equal">
      <formula>"Definitely Yes"</formula>
    </cfRule>
  </conditionalFormatting>
  <conditionalFormatting sqref="M139">
    <cfRule type="cellIs" dxfId="659" priority="669" operator="equal">
      <formula>"Definitely No"</formula>
    </cfRule>
    <cfRule type="cellIs" dxfId="658" priority="670" operator="equal">
      <formula>"Probably No"</formula>
    </cfRule>
    <cfRule type="cellIs" dxfId="657" priority="671" operator="equal">
      <formula>"Probably Yes"</formula>
    </cfRule>
    <cfRule type="cellIs" dxfId="656" priority="672" operator="equal">
      <formula>"Definitely Yes"</formula>
    </cfRule>
  </conditionalFormatting>
  <conditionalFormatting sqref="O139">
    <cfRule type="cellIs" dxfId="655" priority="665" operator="equal">
      <formula>"Definitely High"</formula>
    </cfRule>
    <cfRule type="cellIs" dxfId="654" priority="666" operator="equal">
      <formula>"Probably High"</formula>
    </cfRule>
    <cfRule type="cellIs" dxfId="653" priority="667" operator="equal">
      <formula>"Probably Low"</formula>
    </cfRule>
    <cfRule type="cellIs" dxfId="652" priority="668" operator="equal">
      <formula>"Definitely Low"</formula>
    </cfRule>
  </conditionalFormatting>
  <conditionalFormatting sqref="Q139">
    <cfRule type="cellIs" dxfId="651" priority="661" operator="equal">
      <formula>"Definitely No"</formula>
    </cfRule>
    <cfRule type="cellIs" dxfId="650" priority="662" operator="equal">
      <formula>"Probably No"</formula>
    </cfRule>
    <cfRule type="cellIs" dxfId="649" priority="663" operator="equal">
      <formula>"Probably Yes"</formula>
    </cfRule>
    <cfRule type="cellIs" dxfId="648" priority="664" operator="equal">
      <formula>"Definitely Yes"</formula>
    </cfRule>
  </conditionalFormatting>
  <conditionalFormatting sqref="S139">
    <cfRule type="cellIs" dxfId="647" priority="657" operator="equal">
      <formula>"Definitely High"</formula>
    </cfRule>
    <cfRule type="cellIs" dxfId="646" priority="658" operator="equal">
      <formula>"Probably High"</formula>
    </cfRule>
    <cfRule type="cellIs" dxfId="645" priority="659" operator="equal">
      <formula>"Probably Low"</formula>
    </cfRule>
    <cfRule type="cellIs" dxfId="644" priority="660" operator="equal">
      <formula>"Definitely Low"</formula>
    </cfRule>
  </conditionalFormatting>
  <conditionalFormatting sqref="M142">
    <cfRule type="cellIs" dxfId="643" priority="653" operator="equal">
      <formula>"Definitely No"</formula>
    </cfRule>
    <cfRule type="cellIs" dxfId="642" priority="654" operator="equal">
      <formula>"Probably No"</formula>
    </cfRule>
    <cfRule type="cellIs" dxfId="641" priority="655" operator="equal">
      <formula>"Probably Yes"</formula>
    </cfRule>
    <cfRule type="cellIs" dxfId="640" priority="656" operator="equal">
      <formula>"Definitely Yes"</formula>
    </cfRule>
  </conditionalFormatting>
  <conditionalFormatting sqref="O142">
    <cfRule type="cellIs" dxfId="639" priority="649" operator="equal">
      <formula>"Definitely High"</formula>
    </cfRule>
    <cfRule type="cellIs" dxfId="638" priority="650" operator="equal">
      <formula>"Probably High"</formula>
    </cfRule>
    <cfRule type="cellIs" dxfId="637" priority="651" operator="equal">
      <formula>"Probably Low"</formula>
    </cfRule>
    <cfRule type="cellIs" dxfId="636" priority="652" operator="equal">
      <formula>"Definitely Low"</formula>
    </cfRule>
  </conditionalFormatting>
  <conditionalFormatting sqref="Q142">
    <cfRule type="cellIs" dxfId="635" priority="645" operator="equal">
      <formula>"Definitely No"</formula>
    </cfRule>
    <cfRule type="cellIs" dxfId="634" priority="646" operator="equal">
      <formula>"Probably No"</formula>
    </cfRule>
    <cfRule type="cellIs" dxfId="633" priority="647" operator="equal">
      <formula>"Probably Yes"</formula>
    </cfRule>
    <cfRule type="cellIs" dxfId="632" priority="648" operator="equal">
      <formula>"Definitely Yes"</formula>
    </cfRule>
  </conditionalFormatting>
  <conditionalFormatting sqref="S142">
    <cfRule type="cellIs" dxfId="631" priority="641" operator="equal">
      <formula>"Definitely High"</formula>
    </cfRule>
    <cfRule type="cellIs" dxfId="630" priority="642" operator="equal">
      <formula>"Probably High"</formula>
    </cfRule>
    <cfRule type="cellIs" dxfId="629" priority="643" operator="equal">
      <formula>"Probably Low"</formula>
    </cfRule>
    <cfRule type="cellIs" dxfId="628" priority="644" operator="equal">
      <formula>"Definitely Low"</formula>
    </cfRule>
  </conditionalFormatting>
  <conditionalFormatting sqref="AD140">
    <cfRule type="cellIs" dxfId="627" priority="637" operator="equal">
      <formula>"Definitely High"</formula>
    </cfRule>
    <cfRule type="cellIs" dxfId="626" priority="638" operator="equal">
      <formula>"Probably High"</formula>
    </cfRule>
    <cfRule type="cellIs" dxfId="625" priority="639" operator="equal">
      <formula>"Probably Low"</formula>
    </cfRule>
    <cfRule type="cellIs" dxfId="624" priority="640" operator="equal">
      <formula>"Definitely Low"</formula>
    </cfRule>
  </conditionalFormatting>
  <conditionalFormatting sqref="AD141">
    <cfRule type="cellIs" dxfId="623" priority="633" operator="equal">
      <formula>"Definitely High"</formula>
    </cfRule>
    <cfRule type="cellIs" dxfId="622" priority="634" operator="equal">
      <formula>"Probably High"</formula>
    </cfRule>
    <cfRule type="cellIs" dxfId="621" priority="635" operator="equal">
      <formula>"Probably Low"</formula>
    </cfRule>
    <cfRule type="cellIs" dxfId="620" priority="636" operator="equal">
      <formula>"Definitely Low"</formula>
    </cfRule>
  </conditionalFormatting>
  <conditionalFormatting sqref="AD143">
    <cfRule type="cellIs" dxfId="619" priority="629" operator="equal">
      <formula>"Definitely High"</formula>
    </cfRule>
    <cfRule type="cellIs" dxfId="618" priority="630" operator="equal">
      <formula>"Probably High"</formula>
    </cfRule>
    <cfRule type="cellIs" dxfId="617" priority="631" operator="equal">
      <formula>"Probably Low"</formula>
    </cfRule>
    <cfRule type="cellIs" dxfId="616" priority="632" operator="equal">
      <formula>"Definitely Low"</formula>
    </cfRule>
  </conditionalFormatting>
  <conditionalFormatting sqref="AD145">
    <cfRule type="cellIs" dxfId="615" priority="621" operator="equal">
      <formula>"Definitely High"</formula>
    </cfRule>
    <cfRule type="cellIs" dxfId="614" priority="622" operator="equal">
      <formula>"Probably High"</formula>
    </cfRule>
    <cfRule type="cellIs" dxfId="613" priority="623" operator="equal">
      <formula>"Probably Low"</formula>
    </cfRule>
    <cfRule type="cellIs" dxfId="612" priority="624" operator="equal">
      <formula>"Definitely Low"</formula>
    </cfRule>
  </conditionalFormatting>
  <conditionalFormatting sqref="C149">
    <cfRule type="cellIs" dxfId="611" priority="613" operator="equal">
      <formula>"Definitely No"</formula>
    </cfRule>
    <cfRule type="cellIs" dxfId="610" priority="614" operator="equal">
      <formula>"Probably No"</formula>
    </cfRule>
    <cfRule type="cellIs" dxfId="609" priority="615" operator="equal">
      <formula>"Probably Yes"</formula>
    </cfRule>
    <cfRule type="cellIs" dxfId="608" priority="616" operator="equal">
      <formula>"Definitely Yes"</formula>
    </cfRule>
  </conditionalFormatting>
  <conditionalFormatting sqref="D149">
    <cfRule type="cellIs" dxfId="607" priority="609" operator="equal">
      <formula>"Definitely High"</formula>
    </cfRule>
    <cfRule type="cellIs" dxfId="606" priority="610" operator="equal">
      <formula>"Probably High"</formula>
    </cfRule>
    <cfRule type="cellIs" dxfId="605" priority="611" operator="equal">
      <formula>"Probably Low"</formula>
    </cfRule>
    <cfRule type="cellIs" dxfId="604" priority="612" operator="equal">
      <formula>"Definitely Low"</formula>
    </cfRule>
  </conditionalFormatting>
  <conditionalFormatting sqref="F149">
    <cfRule type="cellIs" dxfId="603" priority="605" operator="equal">
      <formula>"Definitely No"</formula>
    </cfRule>
    <cfRule type="cellIs" dxfId="602" priority="606" operator="equal">
      <formula>"Probably No"</formula>
    </cfRule>
    <cfRule type="cellIs" dxfId="601" priority="607" operator="equal">
      <formula>"Probably Yes"</formula>
    </cfRule>
    <cfRule type="cellIs" dxfId="600" priority="608" operator="equal">
      <formula>"Definitely Yes"</formula>
    </cfRule>
  </conditionalFormatting>
  <conditionalFormatting sqref="G149">
    <cfRule type="cellIs" dxfId="599" priority="601" operator="equal">
      <formula>"Definitely High"</formula>
    </cfRule>
    <cfRule type="cellIs" dxfId="598" priority="602" operator="equal">
      <formula>"Probably High"</formula>
    </cfRule>
    <cfRule type="cellIs" dxfId="597" priority="603" operator="equal">
      <formula>"Probably Low"</formula>
    </cfRule>
    <cfRule type="cellIs" dxfId="596" priority="604" operator="equal">
      <formula>"Definitely Low"</formula>
    </cfRule>
  </conditionalFormatting>
  <conditionalFormatting sqref="C152">
    <cfRule type="cellIs" dxfId="595" priority="597" operator="equal">
      <formula>"Definitely No"</formula>
    </cfRule>
    <cfRule type="cellIs" dxfId="594" priority="598" operator="equal">
      <formula>"Probably No"</formula>
    </cfRule>
    <cfRule type="cellIs" dxfId="593" priority="599" operator="equal">
      <formula>"Probably Yes"</formula>
    </cfRule>
    <cfRule type="cellIs" dxfId="592" priority="600" operator="equal">
      <formula>"Definitely Yes"</formula>
    </cfRule>
  </conditionalFormatting>
  <conditionalFormatting sqref="D152">
    <cfRule type="cellIs" dxfId="591" priority="593" operator="equal">
      <formula>"Definitely High"</formula>
    </cfRule>
    <cfRule type="cellIs" dxfId="590" priority="594" operator="equal">
      <formula>"Probably High"</formula>
    </cfRule>
    <cfRule type="cellIs" dxfId="589" priority="595" operator="equal">
      <formula>"Probably Low"</formula>
    </cfRule>
    <cfRule type="cellIs" dxfId="588" priority="596" operator="equal">
      <formula>"Definitely Low"</formula>
    </cfRule>
  </conditionalFormatting>
  <conditionalFormatting sqref="F152">
    <cfRule type="cellIs" dxfId="587" priority="589" operator="equal">
      <formula>"Definitely No"</formula>
    </cfRule>
    <cfRule type="cellIs" dxfId="586" priority="590" operator="equal">
      <formula>"Probably No"</formula>
    </cfRule>
    <cfRule type="cellIs" dxfId="585" priority="591" operator="equal">
      <formula>"Probably Yes"</formula>
    </cfRule>
    <cfRule type="cellIs" dxfId="584" priority="592" operator="equal">
      <formula>"Definitely Yes"</formula>
    </cfRule>
  </conditionalFormatting>
  <conditionalFormatting sqref="G152">
    <cfRule type="cellIs" dxfId="583" priority="585" operator="equal">
      <formula>"Definitely High"</formula>
    </cfRule>
    <cfRule type="cellIs" dxfId="582" priority="586" operator="equal">
      <formula>"Probably High"</formula>
    </cfRule>
    <cfRule type="cellIs" dxfId="581" priority="587" operator="equal">
      <formula>"Probably Low"</formula>
    </cfRule>
    <cfRule type="cellIs" dxfId="580" priority="588" operator="equal">
      <formula>"Definitely Low"</formula>
    </cfRule>
  </conditionalFormatting>
  <conditionalFormatting sqref="I149">
    <cfRule type="cellIs" dxfId="579" priority="581" operator="equal">
      <formula>"Definitely No"</formula>
    </cfRule>
    <cfRule type="cellIs" dxfId="578" priority="582" operator="equal">
      <formula>"Probably No"</formula>
    </cfRule>
    <cfRule type="cellIs" dxfId="577" priority="583" operator="equal">
      <formula>"Probably Yes"</formula>
    </cfRule>
    <cfRule type="cellIs" dxfId="576" priority="584" operator="equal">
      <formula>"Definitely Yes"</formula>
    </cfRule>
  </conditionalFormatting>
  <conditionalFormatting sqref="K149">
    <cfRule type="cellIs" dxfId="575" priority="577" operator="equal">
      <formula>"Definitely High"</formula>
    </cfRule>
    <cfRule type="cellIs" dxfId="574" priority="578" operator="equal">
      <formula>"Probably High"</formula>
    </cfRule>
    <cfRule type="cellIs" dxfId="573" priority="579" operator="equal">
      <formula>"Probably Low"</formula>
    </cfRule>
    <cfRule type="cellIs" dxfId="572" priority="580" operator="equal">
      <formula>"Definitely Low"</formula>
    </cfRule>
  </conditionalFormatting>
  <conditionalFormatting sqref="M149">
    <cfRule type="cellIs" dxfId="571" priority="573" operator="equal">
      <formula>"Definitely No"</formula>
    </cfRule>
    <cfRule type="cellIs" dxfId="570" priority="574" operator="equal">
      <formula>"Probably No"</formula>
    </cfRule>
    <cfRule type="cellIs" dxfId="569" priority="575" operator="equal">
      <formula>"Probably Yes"</formula>
    </cfRule>
    <cfRule type="cellIs" dxfId="568" priority="576" operator="equal">
      <formula>"Definitely Yes"</formula>
    </cfRule>
  </conditionalFormatting>
  <conditionalFormatting sqref="I152">
    <cfRule type="cellIs" dxfId="567" priority="569" operator="equal">
      <formula>"Definitely No"</formula>
    </cfRule>
    <cfRule type="cellIs" dxfId="566" priority="570" operator="equal">
      <formula>"Probably No"</formula>
    </cfRule>
    <cfRule type="cellIs" dxfId="565" priority="571" operator="equal">
      <formula>"Probably Yes"</formula>
    </cfRule>
    <cfRule type="cellIs" dxfId="564" priority="572" operator="equal">
      <formula>"Definitely Yes"</formula>
    </cfRule>
  </conditionalFormatting>
  <conditionalFormatting sqref="K152">
    <cfRule type="cellIs" dxfId="563" priority="565" operator="equal">
      <formula>"Definitely High"</formula>
    </cfRule>
    <cfRule type="cellIs" dxfId="562" priority="566" operator="equal">
      <formula>"Probably High"</formula>
    </cfRule>
    <cfRule type="cellIs" dxfId="561" priority="567" operator="equal">
      <formula>"Probably Low"</formula>
    </cfRule>
    <cfRule type="cellIs" dxfId="560" priority="568" operator="equal">
      <formula>"Definitely Low"</formula>
    </cfRule>
  </conditionalFormatting>
  <conditionalFormatting sqref="M152">
    <cfRule type="cellIs" dxfId="559" priority="561" operator="equal">
      <formula>"Definitely No"</formula>
    </cfRule>
    <cfRule type="cellIs" dxfId="558" priority="562" operator="equal">
      <formula>"Probably No"</formula>
    </cfRule>
    <cfRule type="cellIs" dxfId="557" priority="563" operator="equal">
      <formula>"Probably Yes"</formula>
    </cfRule>
    <cfRule type="cellIs" dxfId="556" priority="564" operator="equal">
      <formula>"Definitely Yes"</formula>
    </cfRule>
  </conditionalFormatting>
  <conditionalFormatting sqref="O149">
    <cfRule type="cellIs" dxfId="555" priority="557" operator="equal">
      <formula>"Definitely High"</formula>
    </cfRule>
    <cfRule type="cellIs" dxfId="554" priority="558" operator="equal">
      <formula>"Probably High"</formula>
    </cfRule>
    <cfRule type="cellIs" dxfId="553" priority="559" operator="equal">
      <formula>"Probably Low"</formula>
    </cfRule>
    <cfRule type="cellIs" dxfId="552" priority="560" operator="equal">
      <formula>"Definitely Low"</formula>
    </cfRule>
  </conditionalFormatting>
  <conditionalFormatting sqref="Q149">
    <cfRule type="cellIs" dxfId="551" priority="553" operator="equal">
      <formula>"Definitely No"</formula>
    </cfRule>
    <cfRule type="cellIs" dxfId="550" priority="554" operator="equal">
      <formula>"Probably No"</formula>
    </cfRule>
    <cfRule type="cellIs" dxfId="549" priority="555" operator="equal">
      <formula>"Probably Yes"</formula>
    </cfRule>
    <cfRule type="cellIs" dxfId="548" priority="556" operator="equal">
      <formula>"Definitely Yes"</formula>
    </cfRule>
  </conditionalFormatting>
  <conditionalFormatting sqref="O152">
    <cfRule type="cellIs" dxfId="547" priority="549" operator="equal">
      <formula>"Definitely High"</formula>
    </cfRule>
    <cfRule type="cellIs" dxfId="546" priority="550" operator="equal">
      <formula>"Probably High"</formula>
    </cfRule>
    <cfRule type="cellIs" dxfId="545" priority="551" operator="equal">
      <formula>"Probably Low"</formula>
    </cfRule>
    <cfRule type="cellIs" dxfId="544" priority="552" operator="equal">
      <formula>"Definitely Low"</formula>
    </cfRule>
  </conditionalFormatting>
  <conditionalFormatting sqref="Q152">
    <cfRule type="cellIs" dxfId="543" priority="545" operator="equal">
      <formula>"Definitely No"</formula>
    </cfRule>
    <cfRule type="cellIs" dxfId="542" priority="546" operator="equal">
      <formula>"Probably No"</formula>
    </cfRule>
    <cfRule type="cellIs" dxfId="541" priority="547" operator="equal">
      <formula>"Probably Yes"</formula>
    </cfRule>
    <cfRule type="cellIs" dxfId="540" priority="548" operator="equal">
      <formula>"Definitely Yes"</formula>
    </cfRule>
  </conditionalFormatting>
  <conditionalFormatting sqref="S149">
    <cfRule type="cellIs" dxfId="539" priority="541" operator="equal">
      <formula>"Definitely High"</formula>
    </cfRule>
    <cfRule type="cellIs" dxfId="538" priority="542" operator="equal">
      <formula>"Probably High"</formula>
    </cfRule>
    <cfRule type="cellIs" dxfId="537" priority="543" operator="equal">
      <formula>"Probably Low"</formula>
    </cfRule>
    <cfRule type="cellIs" dxfId="536" priority="544" operator="equal">
      <formula>"Definitely Low"</formula>
    </cfRule>
  </conditionalFormatting>
  <conditionalFormatting sqref="S152">
    <cfRule type="cellIs" dxfId="535" priority="537" operator="equal">
      <formula>"Definitely High"</formula>
    </cfRule>
    <cfRule type="cellIs" dxfId="534" priority="538" operator="equal">
      <formula>"Probably High"</formula>
    </cfRule>
    <cfRule type="cellIs" dxfId="533" priority="539" operator="equal">
      <formula>"Probably Low"</formula>
    </cfRule>
    <cfRule type="cellIs" dxfId="532" priority="540" operator="equal">
      <formula>"Definitely Low"</formula>
    </cfRule>
  </conditionalFormatting>
  <conditionalFormatting sqref="AD150">
    <cfRule type="cellIs" dxfId="531" priority="533" operator="equal">
      <formula>"Definitely High"</formula>
    </cfRule>
    <cfRule type="cellIs" dxfId="530" priority="534" operator="equal">
      <formula>"Probably High"</formula>
    </cfRule>
    <cfRule type="cellIs" dxfId="529" priority="535" operator="equal">
      <formula>"Probably Low"</formula>
    </cfRule>
    <cfRule type="cellIs" dxfId="528" priority="536" operator="equal">
      <formula>"Definitely Low"</formula>
    </cfRule>
  </conditionalFormatting>
  <conditionalFormatting sqref="AD151">
    <cfRule type="cellIs" dxfId="527" priority="529" operator="equal">
      <formula>"Definitely High"</formula>
    </cfRule>
    <cfRule type="cellIs" dxfId="526" priority="530" operator="equal">
      <formula>"Probably High"</formula>
    </cfRule>
    <cfRule type="cellIs" dxfId="525" priority="531" operator="equal">
      <formula>"Probably Low"</formula>
    </cfRule>
    <cfRule type="cellIs" dxfId="524" priority="532" operator="equal">
      <formula>"Definitely Low"</formula>
    </cfRule>
  </conditionalFormatting>
  <conditionalFormatting sqref="AD153">
    <cfRule type="cellIs" dxfId="523" priority="525" operator="equal">
      <formula>"Definitely High"</formula>
    </cfRule>
    <cfRule type="cellIs" dxfId="522" priority="526" operator="equal">
      <formula>"Probably High"</formula>
    </cfRule>
    <cfRule type="cellIs" dxfId="521" priority="527" operator="equal">
      <formula>"Probably Low"</formula>
    </cfRule>
    <cfRule type="cellIs" dxfId="520" priority="528" operator="equal">
      <formula>"Definitely Low"</formula>
    </cfRule>
  </conditionalFormatting>
  <conditionalFormatting sqref="AD154">
    <cfRule type="cellIs" dxfId="519" priority="521" operator="equal">
      <formula>"Definitely High"</formula>
    </cfRule>
    <cfRule type="cellIs" dxfId="518" priority="522" operator="equal">
      <formula>"Probably High"</formula>
    </cfRule>
    <cfRule type="cellIs" dxfId="517" priority="523" operator="equal">
      <formula>"Probably Low"</formula>
    </cfRule>
    <cfRule type="cellIs" dxfId="516" priority="524" operator="equal">
      <formula>"Definitely Low"</formula>
    </cfRule>
  </conditionalFormatting>
  <conditionalFormatting sqref="AD155">
    <cfRule type="cellIs" dxfId="515" priority="517" operator="equal">
      <formula>"Definitely High"</formula>
    </cfRule>
    <cfRule type="cellIs" dxfId="514" priority="518" operator="equal">
      <formula>"Probably High"</formula>
    </cfRule>
    <cfRule type="cellIs" dxfId="513" priority="519" operator="equal">
      <formula>"Probably Low"</formula>
    </cfRule>
    <cfRule type="cellIs" dxfId="512" priority="520" operator="equal">
      <formula>"Definitely Low"</formula>
    </cfRule>
  </conditionalFormatting>
  <conditionalFormatting sqref="AD156">
    <cfRule type="cellIs" dxfId="511" priority="513" operator="equal">
      <formula>"Definitely High"</formula>
    </cfRule>
    <cfRule type="cellIs" dxfId="510" priority="514" operator="equal">
      <formula>"Probably High"</formula>
    </cfRule>
    <cfRule type="cellIs" dxfId="509" priority="515" operator="equal">
      <formula>"Probably Low"</formula>
    </cfRule>
    <cfRule type="cellIs" dxfId="508" priority="516" operator="equal">
      <formula>"Definitely Low"</formula>
    </cfRule>
  </conditionalFormatting>
  <conditionalFormatting sqref="AD157">
    <cfRule type="cellIs" dxfId="507" priority="509" operator="equal">
      <formula>"Definitely High"</formula>
    </cfRule>
    <cfRule type="cellIs" dxfId="506" priority="510" operator="equal">
      <formula>"Probably High"</formula>
    </cfRule>
    <cfRule type="cellIs" dxfId="505" priority="511" operator="equal">
      <formula>"Probably Low"</formula>
    </cfRule>
    <cfRule type="cellIs" dxfId="504" priority="512" operator="equal">
      <formula>"Definitely Low"</formula>
    </cfRule>
  </conditionalFormatting>
  <conditionalFormatting sqref="AD158">
    <cfRule type="cellIs" dxfId="503" priority="505" operator="equal">
      <formula>"Definitely High"</formula>
    </cfRule>
    <cfRule type="cellIs" dxfId="502" priority="506" operator="equal">
      <formula>"Probably High"</formula>
    </cfRule>
    <cfRule type="cellIs" dxfId="501" priority="507" operator="equal">
      <formula>"Probably Low"</formula>
    </cfRule>
    <cfRule type="cellIs" dxfId="500" priority="508" operator="equal">
      <formula>"Definitely Low"</formula>
    </cfRule>
  </conditionalFormatting>
  <conditionalFormatting sqref="AD159">
    <cfRule type="cellIs" dxfId="499" priority="501" operator="equal">
      <formula>"Definitely High"</formula>
    </cfRule>
    <cfRule type="cellIs" dxfId="498" priority="502" operator="equal">
      <formula>"Probably High"</formula>
    </cfRule>
    <cfRule type="cellIs" dxfId="497" priority="503" operator="equal">
      <formula>"Probably Low"</formula>
    </cfRule>
    <cfRule type="cellIs" dxfId="496" priority="504" operator="equal">
      <formula>"Definitely Low"</formula>
    </cfRule>
  </conditionalFormatting>
  <conditionalFormatting sqref="AD164">
    <cfRule type="cellIs" dxfId="495" priority="497" operator="equal">
      <formula>"Definitely High"</formula>
    </cfRule>
    <cfRule type="cellIs" dxfId="494" priority="498" operator="equal">
      <formula>"Probably High"</formula>
    </cfRule>
    <cfRule type="cellIs" dxfId="493" priority="499" operator="equal">
      <formula>"Probably Low"</formula>
    </cfRule>
    <cfRule type="cellIs" dxfId="492" priority="500" operator="equal">
      <formula>"Definitely Low"</formula>
    </cfRule>
  </conditionalFormatting>
  <conditionalFormatting sqref="AD163">
    <cfRule type="cellIs" dxfId="491" priority="493" operator="equal">
      <formula>"Definitely High"</formula>
    </cfRule>
    <cfRule type="cellIs" dxfId="490" priority="494" operator="equal">
      <formula>"Probably High"</formula>
    </cfRule>
    <cfRule type="cellIs" dxfId="489" priority="495" operator="equal">
      <formula>"Probably Low"</formula>
    </cfRule>
    <cfRule type="cellIs" dxfId="488" priority="496" operator="equal">
      <formula>"Definitely Low"</formula>
    </cfRule>
  </conditionalFormatting>
  <conditionalFormatting sqref="C174">
    <cfRule type="cellIs" dxfId="487" priority="489" operator="equal">
      <formula>"Definitely No"</formula>
    </cfRule>
    <cfRule type="cellIs" dxfId="486" priority="490" operator="equal">
      <formula>"Probably No"</formula>
    </cfRule>
    <cfRule type="cellIs" dxfId="485" priority="491" operator="equal">
      <formula>"Probably Yes"</formula>
    </cfRule>
    <cfRule type="cellIs" dxfId="484" priority="492" operator="equal">
      <formula>"Definitely Yes"</formula>
    </cfRule>
  </conditionalFormatting>
  <conditionalFormatting sqref="D174">
    <cfRule type="cellIs" dxfId="483" priority="485" operator="equal">
      <formula>"Definitely High"</formula>
    </cfRule>
    <cfRule type="cellIs" dxfId="482" priority="486" operator="equal">
      <formula>"Probably High"</formula>
    </cfRule>
    <cfRule type="cellIs" dxfId="481" priority="487" operator="equal">
      <formula>"Probably Low"</formula>
    </cfRule>
    <cfRule type="cellIs" dxfId="480" priority="488" operator="equal">
      <formula>"Definitely Low"</formula>
    </cfRule>
  </conditionalFormatting>
  <conditionalFormatting sqref="F174">
    <cfRule type="cellIs" dxfId="479" priority="481" operator="equal">
      <formula>"Definitely No"</formula>
    </cfRule>
    <cfRule type="cellIs" dxfId="478" priority="482" operator="equal">
      <formula>"Probably No"</formula>
    </cfRule>
    <cfRule type="cellIs" dxfId="477" priority="483" operator="equal">
      <formula>"Probably Yes"</formula>
    </cfRule>
    <cfRule type="cellIs" dxfId="476" priority="484" operator="equal">
      <formula>"Definitely Yes"</formula>
    </cfRule>
  </conditionalFormatting>
  <conditionalFormatting sqref="G174">
    <cfRule type="cellIs" dxfId="475" priority="477" operator="equal">
      <formula>"Definitely High"</formula>
    </cfRule>
    <cfRule type="cellIs" dxfId="474" priority="478" operator="equal">
      <formula>"Probably High"</formula>
    </cfRule>
    <cfRule type="cellIs" dxfId="473" priority="479" operator="equal">
      <formula>"Probably Low"</formula>
    </cfRule>
    <cfRule type="cellIs" dxfId="472" priority="480" operator="equal">
      <formula>"Definitely Low"</formula>
    </cfRule>
  </conditionalFormatting>
  <conditionalFormatting sqref="I174">
    <cfRule type="cellIs" dxfId="471" priority="473" operator="equal">
      <formula>"Definitely No"</formula>
    </cfRule>
    <cfRule type="cellIs" dxfId="470" priority="474" operator="equal">
      <formula>"Probably No"</formula>
    </cfRule>
    <cfRule type="cellIs" dxfId="469" priority="475" operator="equal">
      <formula>"Probably Yes"</formula>
    </cfRule>
    <cfRule type="cellIs" dxfId="468" priority="476" operator="equal">
      <formula>"Definitely Yes"</formula>
    </cfRule>
  </conditionalFormatting>
  <conditionalFormatting sqref="K174">
    <cfRule type="cellIs" dxfId="467" priority="469" operator="equal">
      <formula>"Definitely High"</formula>
    </cfRule>
    <cfRule type="cellIs" dxfId="466" priority="470" operator="equal">
      <formula>"Probably High"</formula>
    </cfRule>
    <cfRule type="cellIs" dxfId="465" priority="471" operator="equal">
      <formula>"Probably Low"</formula>
    </cfRule>
    <cfRule type="cellIs" dxfId="464" priority="472" operator="equal">
      <formula>"Definitely Low"</formula>
    </cfRule>
  </conditionalFormatting>
  <conditionalFormatting sqref="M174">
    <cfRule type="cellIs" dxfId="463" priority="465" operator="equal">
      <formula>"Definitely No"</formula>
    </cfRule>
    <cfRule type="cellIs" dxfId="462" priority="466" operator="equal">
      <formula>"Probably No"</formula>
    </cfRule>
    <cfRule type="cellIs" dxfId="461" priority="467" operator="equal">
      <formula>"Probably Yes"</formula>
    </cfRule>
    <cfRule type="cellIs" dxfId="460" priority="468" operator="equal">
      <formula>"Definitely Yes"</formula>
    </cfRule>
  </conditionalFormatting>
  <conditionalFormatting sqref="O174">
    <cfRule type="cellIs" dxfId="459" priority="461" operator="equal">
      <formula>"Definitely High"</formula>
    </cfRule>
    <cfRule type="cellIs" dxfId="458" priority="462" operator="equal">
      <formula>"Probably High"</formula>
    </cfRule>
    <cfRule type="cellIs" dxfId="457" priority="463" operator="equal">
      <formula>"Probably Low"</formula>
    </cfRule>
    <cfRule type="cellIs" dxfId="456" priority="464" operator="equal">
      <formula>"Definitely Low"</formula>
    </cfRule>
  </conditionalFormatting>
  <conditionalFormatting sqref="Q174">
    <cfRule type="cellIs" dxfId="455" priority="457" operator="equal">
      <formula>"Definitely No"</formula>
    </cfRule>
    <cfRule type="cellIs" dxfId="454" priority="458" operator="equal">
      <formula>"Probably No"</formula>
    </cfRule>
    <cfRule type="cellIs" dxfId="453" priority="459" operator="equal">
      <formula>"Probably Yes"</formula>
    </cfRule>
    <cfRule type="cellIs" dxfId="452" priority="460" operator="equal">
      <formula>"Definitely Yes"</formula>
    </cfRule>
  </conditionalFormatting>
  <conditionalFormatting sqref="S174">
    <cfRule type="cellIs" dxfId="451" priority="453" operator="equal">
      <formula>"Definitely High"</formula>
    </cfRule>
    <cfRule type="cellIs" dxfId="450" priority="454" operator="equal">
      <formula>"Probably High"</formula>
    </cfRule>
    <cfRule type="cellIs" dxfId="449" priority="455" operator="equal">
      <formula>"Probably Low"</formula>
    </cfRule>
    <cfRule type="cellIs" dxfId="448" priority="456" operator="equal">
      <formula>"Definitely Low"</formula>
    </cfRule>
  </conditionalFormatting>
  <conditionalFormatting sqref="AD175">
    <cfRule type="cellIs" dxfId="447" priority="449" operator="equal">
      <formula>"Definitely High"</formula>
    </cfRule>
    <cfRule type="cellIs" dxfId="446" priority="450" operator="equal">
      <formula>"Probably High"</formula>
    </cfRule>
    <cfRule type="cellIs" dxfId="445" priority="451" operator="equal">
      <formula>"Probably Low"</formula>
    </cfRule>
    <cfRule type="cellIs" dxfId="444" priority="452" operator="equal">
      <formula>"Definitely Low"</formula>
    </cfRule>
  </conditionalFormatting>
  <conditionalFormatting sqref="AD179">
    <cfRule type="cellIs" dxfId="443" priority="445" operator="equal">
      <formula>"Definitely High"</formula>
    </cfRule>
    <cfRule type="cellIs" dxfId="442" priority="446" operator="equal">
      <formula>"Probably High"</formula>
    </cfRule>
    <cfRule type="cellIs" dxfId="441" priority="447" operator="equal">
      <formula>"Probably Low"</formula>
    </cfRule>
    <cfRule type="cellIs" dxfId="440" priority="448" operator="equal">
      <formula>"Definitely Low"</formula>
    </cfRule>
  </conditionalFormatting>
  <conditionalFormatting sqref="AD180:AD182">
    <cfRule type="cellIs" dxfId="439" priority="441" operator="equal">
      <formula>"Definitely High"</formula>
    </cfRule>
    <cfRule type="cellIs" dxfId="438" priority="442" operator="equal">
      <formula>"Probably High"</formula>
    </cfRule>
    <cfRule type="cellIs" dxfId="437" priority="443" operator="equal">
      <formula>"Probably Low"</formula>
    </cfRule>
    <cfRule type="cellIs" dxfId="436" priority="444" operator="equal">
      <formula>"Definitely Low"</formula>
    </cfRule>
  </conditionalFormatting>
  <conditionalFormatting sqref="C185">
    <cfRule type="cellIs" dxfId="435" priority="437" operator="equal">
      <formula>"Definitely No"</formula>
    </cfRule>
    <cfRule type="cellIs" dxfId="434" priority="438" operator="equal">
      <formula>"Probably No"</formula>
    </cfRule>
    <cfRule type="cellIs" dxfId="433" priority="439" operator="equal">
      <formula>"Probably Yes"</formula>
    </cfRule>
    <cfRule type="cellIs" dxfId="432" priority="440" operator="equal">
      <formula>"Definitely Yes"</formula>
    </cfRule>
  </conditionalFormatting>
  <conditionalFormatting sqref="D185">
    <cfRule type="cellIs" dxfId="431" priority="433" operator="equal">
      <formula>"Definitely High"</formula>
    </cfRule>
    <cfRule type="cellIs" dxfId="430" priority="434" operator="equal">
      <formula>"Probably High"</formula>
    </cfRule>
    <cfRule type="cellIs" dxfId="429" priority="435" operator="equal">
      <formula>"Probably Low"</formula>
    </cfRule>
    <cfRule type="cellIs" dxfId="428" priority="436" operator="equal">
      <formula>"Definitely Low"</formula>
    </cfRule>
  </conditionalFormatting>
  <conditionalFormatting sqref="C188">
    <cfRule type="cellIs" dxfId="427" priority="429" operator="equal">
      <formula>"Definitely No"</formula>
    </cfRule>
    <cfRule type="cellIs" dxfId="426" priority="430" operator="equal">
      <formula>"Probably No"</formula>
    </cfRule>
    <cfRule type="cellIs" dxfId="425" priority="431" operator="equal">
      <formula>"Probably Yes"</formula>
    </cfRule>
    <cfRule type="cellIs" dxfId="424" priority="432" operator="equal">
      <formula>"Definitely Yes"</formula>
    </cfRule>
  </conditionalFormatting>
  <conditionalFormatting sqref="D188">
    <cfRule type="cellIs" dxfId="423" priority="425" operator="equal">
      <formula>"Definitely High"</formula>
    </cfRule>
    <cfRule type="cellIs" dxfId="422" priority="426" operator="equal">
      <formula>"Probably High"</formula>
    </cfRule>
    <cfRule type="cellIs" dxfId="421" priority="427" operator="equal">
      <formula>"Probably Low"</formula>
    </cfRule>
    <cfRule type="cellIs" dxfId="420" priority="428" operator="equal">
      <formula>"Definitely Low"</formula>
    </cfRule>
  </conditionalFormatting>
  <conditionalFormatting sqref="F185">
    <cfRule type="cellIs" dxfId="419" priority="421" operator="equal">
      <formula>"Definitely No"</formula>
    </cfRule>
    <cfRule type="cellIs" dxfId="418" priority="422" operator="equal">
      <formula>"Probably No"</formula>
    </cfRule>
    <cfRule type="cellIs" dxfId="417" priority="423" operator="equal">
      <formula>"Probably Yes"</formula>
    </cfRule>
    <cfRule type="cellIs" dxfId="416" priority="424" operator="equal">
      <formula>"Definitely Yes"</formula>
    </cfRule>
  </conditionalFormatting>
  <conditionalFormatting sqref="G185">
    <cfRule type="cellIs" dxfId="415" priority="417" operator="equal">
      <formula>"Definitely High"</formula>
    </cfRule>
    <cfRule type="cellIs" dxfId="414" priority="418" operator="equal">
      <formula>"Probably High"</formula>
    </cfRule>
    <cfRule type="cellIs" dxfId="413" priority="419" operator="equal">
      <formula>"Probably Low"</formula>
    </cfRule>
    <cfRule type="cellIs" dxfId="412" priority="420" operator="equal">
      <formula>"Definitely Low"</formula>
    </cfRule>
  </conditionalFormatting>
  <conditionalFormatting sqref="F188">
    <cfRule type="cellIs" dxfId="411" priority="413" operator="equal">
      <formula>"Definitely No"</formula>
    </cfRule>
    <cfRule type="cellIs" dxfId="410" priority="414" operator="equal">
      <formula>"Probably No"</formula>
    </cfRule>
    <cfRule type="cellIs" dxfId="409" priority="415" operator="equal">
      <formula>"Probably Yes"</formula>
    </cfRule>
    <cfRule type="cellIs" dxfId="408" priority="416" operator="equal">
      <formula>"Definitely Yes"</formula>
    </cfRule>
  </conditionalFormatting>
  <conditionalFormatting sqref="G188">
    <cfRule type="cellIs" dxfId="407" priority="409" operator="equal">
      <formula>"Definitely High"</formula>
    </cfRule>
    <cfRule type="cellIs" dxfId="406" priority="410" operator="equal">
      <formula>"Probably High"</formula>
    </cfRule>
    <cfRule type="cellIs" dxfId="405" priority="411" operator="equal">
      <formula>"Probably Low"</formula>
    </cfRule>
    <cfRule type="cellIs" dxfId="404" priority="412" operator="equal">
      <formula>"Definitely Low"</formula>
    </cfRule>
  </conditionalFormatting>
  <conditionalFormatting sqref="I185">
    <cfRule type="cellIs" dxfId="403" priority="405" operator="equal">
      <formula>"Definitely No"</formula>
    </cfRule>
    <cfRule type="cellIs" dxfId="402" priority="406" operator="equal">
      <formula>"Probably No"</formula>
    </cfRule>
    <cfRule type="cellIs" dxfId="401" priority="407" operator="equal">
      <formula>"Probably Yes"</formula>
    </cfRule>
    <cfRule type="cellIs" dxfId="400" priority="408" operator="equal">
      <formula>"Definitely Yes"</formula>
    </cfRule>
  </conditionalFormatting>
  <conditionalFormatting sqref="I188">
    <cfRule type="cellIs" dxfId="399" priority="401" operator="equal">
      <formula>"Definitely No"</formula>
    </cfRule>
    <cfRule type="cellIs" dxfId="398" priority="402" operator="equal">
      <formula>"Probably No"</formula>
    </cfRule>
    <cfRule type="cellIs" dxfId="397" priority="403" operator="equal">
      <formula>"Probably Yes"</formula>
    </cfRule>
    <cfRule type="cellIs" dxfId="396" priority="404" operator="equal">
      <formula>"Definitely Yes"</formula>
    </cfRule>
  </conditionalFormatting>
  <conditionalFormatting sqref="K185">
    <cfRule type="cellIs" dxfId="395" priority="397" operator="equal">
      <formula>"Definitely High"</formula>
    </cfRule>
    <cfRule type="cellIs" dxfId="394" priority="398" operator="equal">
      <formula>"Probably High"</formula>
    </cfRule>
    <cfRule type="cellIs" dxfId="393" priority="399" operator="equal">
      <formula>"Probably Low"</formula>
    </cfRule>
    <cfRule type="cellIs" dxfId="392" priority="400" operator="equal">
      <formula>"Definitely Low"</formula>
    </cfRule>
  </conditionalFormatting>
  <conditionalFormatting sqref="K188">
    <cfRule type="cellIs" dxfId="391" priority="393" operator="equal">
      <formula>"Definitely High"</formula>
    </cfRule>
    <cfRule type="cellIs" dxfId="390" priority="394" operator="equal">
      <formula>"Probably High"</formula>
    </cfRule>
    <cfRule type="cellIs" dxfId="389" priority="395" operator="equal">
      <formula>"Probably Low"</formula>
    </cfRule>
    <cfRule type="cellIs" dxfId="388" priority="396" operator="equal">
      <formula>"Definitely Low"</formula>
    </cfRule>
  </conditionalFormatting>
  <conditionalFormatting sqref="M185">
    <cfRule type="cellIs" dxfId="387" priority="389" operator="equal">
      <formula>"Definitely No"</formula>
    </cfRule>
    <cfRule type="cellIs" dxfId="386" priority="390" operator="equal">
      <formula>"Probably No"</formula>
    </cfRule>
    <cfRule type="cellIs" dxfId="385" priority="391" operator="equal">
      <formula>"Probably Yes"</formula>
    </cfRule>
    <cfRule type="cellIs" dxfId="384" priority="392" operator="equal">
      <formula>"Definitely Yes"</formula>
    </cfRule>
  </conditionalFormatting>
  <conditionalFormatting sqref="O185">
    <cfRule type="cellIs" dxfId="383" priority="385" operator="equal">
      <formula>"Definitely High"</formula>
    </cfRule>
    <cfRule type="cellIs" dxfId="382" priority="386" operator="equal">
      <formula>"Probably High"</formula>
    </cfRule>
    <cfRule type="cellIs" dxfId="381" priority="387" operator="equal">
      <formula>"Probably Low"</formula>
    </cfRule>
    <cfRule type="cellIs" dxfId="380" priority="388" operator="equal">
      <formula>"Definitely Low"</formula>
    </cfRule>
  </conditionalFormatting>
  <conditionalFormatting sqref="M188">
    <cfRule type="cellIs" dxfId="379" priority="381" operator="equal">
      <formula>"Definitely No"</formula>
    </cfRule>
    <cfRule type="cellIs" dxfId="378" priority="382" operator="equal">
      <formula>"Probably No"</formula>
    </cfRule>
    <cfRule type="cellIs" dxfId="377" priority="383" operator="equal">
      <formula>"Probably Yes"</formula>
    </cfRule>
    <cfRule type="cellIs" dxfId="376" priority="384" operator="equal">
      <formula>"Definitely Yes"</formula>
    </cfRule>
  </conditionalFormatting>
  <conditionalFormatting sqref="O188">
    <cfRule type="cellIs" dxfId="375" priority="377" operator="equal">
      <formula>"Definitely High"</formula>
    </cfRule>
    <cfRule type="cellIs" dxfId="374" priority="378" operator="equal">
      <formula>"Probably High"</formula>
    </cfRule>
    <cfRule type="cellIs" dxfId="373" priority="379" operator="equal">
      <formula>"Probably Low"</formula>
    </cfRule>
    <cfRule type="cellIs" dxfId="372" priority="380" operator="equal">
      <formula>"Definitely Low"</formula>
    </cfRule>
  </conditionalFormatting>
  <conditionalFormatting sqref="Q185">
    <cfRule type="cellIs" dxfId="371" priority="373" operator="equal">
      <formula>"Definitely No"</formula>
    </cfRule>
    <cfRule type="cellIs" dxfId="370" priority="374" operator="equal">
      <formula>"Probably No"</formula>
    </cfRule>
    <cfRule type="cellIs" dxfId="369" priority="375" operator="equal">
      <formula>"Probably Yes"</formula>
    </cfRule>
    <cfRule type="cellIs" dxfId="368" priority="376" operator="equal">
      <formula>"Definitely Yes"</formula>
    </cfRule>
  </conditionalFormatting>
  <conditionalFormatting sqref="S185">
    <cfRule type="cellIs" dxfId="367" priority="369" operator="equal">
      <formula>"Definitely High"</formula>
    </cfRule>
    <cfRule type="cellIs" dxfId="366" priority="370" operator="equal">
      <formula>"Probably High"</formula>
    </cfRule>
    <cfRule type="cellIs" dxfId="365" priority="371" operator="equal">
      <formula>"Probably Low"</formula>
    </cfRule>
    <cfRule type="cellIs" dxfId="364" priority="372" operator="equal">
      <formula>"Definitely Low"</formula>
    </cfRule>
  </conditionalFormatting>
  <conditionalFormatting sqref="Q188">
    <cfRule type="cellIs" dxfId="363" priority="365" operator="equal">
      <formula>"Definitely No"</formula>
    </cfRule>
    <cfRule type="cellIs" dxfId="362" priority="366" operator="equal">
      <formula>"Probably No"</formula>
    </cfRule>
    <cfRule type="cellIs" dxfId="361" priority="367" operator="equal">
      <formula>"Probably Yes"</formula>
    </cfRule>
    <cfRule type="cellIs" dxfId="360" priority="368" operator="equal">
      <formula>"Definitely Yes"</formula>
    </cfRule>
  </conditionalFormatting>
  <conditionalFormatting sqref="S188">
    <cfRule type="cellIs" dxfId="359" priority="361" operator="equal">
      <formula>"Definitely High"</formula>
    </cfRule>
    <cfRule type="cellIs" dxfId="358" priority="362" operator="equal">
      <formula>"Probably High"</formula>
    </cfRule>
    <cfRule type="cellIs" dxfId="357" priority="363" operator="equal">
      <formula>"Probably Low"</formula>
    </cfRule>
    <cfRule type="cellIs" dxfId="356" priority="364" operator="equal">
      <formula>"Definitely Low"</formula>
    </cfRule>
  </conditionalFormatting>
  <conditionalFormatting sqref="AD185">
    <cfRule type="cellIs" dxfId="355" priority="357" operator="equal">
      <formula>"Definitely High"</formula>
    </cfRule>
    <cfRule type="cellIs" dxfId="354" priority="358" operator="equal">
      <formula>"Probably High"</formula>
    </cfRule>
    <cfRule type="cellIs" dxfId="353" priority="359" operator="equal">
      <formula>"Probably Low"</formula>
    </cfRule>
    <cfRule type="cellIs" dxfId="352" priority="360" operator="equal">
      <formula>"Definitely Low"</formula>
    </cfRule>
  </conditionalFormatting>
  <conditionalFormatting sqref="AD194">
    <cfRule type="cellIs" dxfId="351" priority="353" operator="equal">
      <formula>"Definitely High"</formula>
    </cfRule>
    <cfRule type="cellIs" dxfId="350" priority="354" operator="equal">
      <formula>"Probably High"</formula>
    </cfRule>
    <cfRule type="cellIs" dxfId="349" priority="355" operator="equal">
      <formula>"Probably Low"</formula>
    </cfRule>
    <cfRule type="cellIs" dxfId="348" priority="356" operator="equal">
      <formula>"Definitely Low"</formula>
    </cfRule>
  </conditionalFormatting>
  <conditionalFormatting sqref="AD189">
    <cfRule type="cellIs" dxfId="347" priority="349" operator="equal">
      <formula>"Definitely High"</formula>
    </cfRule>
    <cfRule type="cellIs" dxfId="346" priority="350" operator="equal">
      <formula>"Probably High"</formula>
    </cfRule>
    <cfRule type="cellIs" dxfId="345" priority="351" operator="equal">
      <formula>"Probably Low"</formula>
    </cfRule>
    <cfRule type="cellIs" dxfId="344" priority="352" operator="equal">
      <formula>"Definitely Low"</formula>
    </cfRule>
  </conditionalFormatting>
  <conditionalFormatting sqref="AD190">
    <cfRule type="cellIs" dxfId="343" priority="345" operator="equal">
      <formula>"Definitely High"</formula>
    </cfRule>
    <cfRule type="cellIs" dxfId="342" priority="346" operator="equal">
      <formula>"Probably High"</formula>
    </cfRule>
    <cfRule type="cellIs" dxfId="341" priority="347" operator="equal">
      <formula>"Probably Low"</formula>
    </cfRule>
    <cfRule type="cellIs" dxfId="340" priority="348" operator="equal">
      <formula>"Definitely Low"</formula>
    </cfRule>
  </conditionalFormatting>
  <conditionalFormatting sqref="AD191">
    <cfRule type="cellIs" dxfId="339" priority="341" operator="equal">
      <formula>"Definitely High"</formula>
    </cfRule>
    <cfRule type="cellIs" dxfId="338" priority="342" operator="equal">
      <formula>"Probably High"</formula>
    </cfRule>
    <cfRule type="cellIs" dxfId="337" priority="343" operator="equal">
      <formula>"Probably Low"</formula>
    </cfRule>
    <cfRule type="cellIs" dxfId="336" priority="344" operator="equal">
      <formula>"Definitely Low"</formula>
    </cfRule>
  </conditionalFormatting>
  <conditionalFormatting sqref="AD198">
    <cfRule type="cellIs" dxfId="335" priority="337" operator="equal">
      <formula>"Definitely High"</formula>
    </cfRule>
    <cfRule type="cellIs" dxfId="334" priority="338" operator="equal">
      <formula>"Probably High"</formula>
    </cfRule>
    <cfRule type="cellIs" dxfId="333" priority="339" operator="equal">
      <formula>"Probably Low"</formula>
    </cfRule>
    <cfRule type="cellIs" dxfId="332" priority="340" operator="equal">
      <formula>"Definitely Low"</formula>
    </cfRule>
  </conditionalFormatting>
  <conditionalFormatting sqref="AD199">
    <cfRule type="cellIs" dxfId="331" priority="333" operator="equal">
      <formula>"Definitely High"</formula>
    </cfRule>
    <cfRule type="cellIs" dxfId="330" priority="334" operator="equal">
      <formula>"Probably High"</formula>
    </cfRule>
    <cfRule type="cellIs" dxfId="329" priority="335" operator="equal">
      <formula>"Probably Low"</formula>
    </cfRule>
    <cfRule type="cellIs" dxfId="328" priority="336" operator="equal">
      <formula>"Definitely Low"</formula>
    </cfRule>
  </conditionalFormatting>
  <conditionalFormatting sqref="AD200">
    <cfRule type="cellIs" dxfId="327" priority="329" operator="equal">
      <formula>"Definitely High"</formula>
    </cfRule>
    <cfRule type="cellIs" dxfId="326" priority="330" operator="equal">
      <formula>"Probably High"</formula>
    </cfRule>
    <cfRule type="cellIs" dxfId="325" priority="331" operator="equal">
      <formula>"Probably Low"</formula>
    </cfRule>
    <cfRule type="cellIs" dxfId="324" priority="332" operator="equal">
      <formula>"Definitely Low"</formula>
    </cfRule>
  </conditionalFormatting>
  <conditionalFormatting sqref="C203">
    <cfRule type="cellIs" dxfId="323" priority="325" operator="equal">
      <formula>"Definitely No"</formula>
    </cfRule>
    <cfRule type="cellIs" dxfId="322" priority="326" operator="equal">
      <formula>"Probably No"</formula>
    </cfRule>
    <cfRule type="cellIs" dxfId="321" priority="327" operator="equal">
      <formula>"Probably Yes"</formula>
    </cfRule>
    <cfRule type="cellIs" dxfId="320" priority="328" operator="equal">
      <formula>"Definitely Yes"</formula>
    </cfRule>
  </conditionalFormatting>
  <conditionalFormatting sqref="D203">
    <cfRule type="cellIs" dxfId="319" priority="321" operator="equal">
      <formula>"Definitely High"</formula>
    </cfRule>
    <cfRule type="cellIs" dxfId="318" priority="322" operator="equal">
      <formula>"Probably High"</formula>
    </cfRule>
    <cfRule type="cellIs" dxfId="317" priority="323" operator="equal">
      <formula>"Probably Low"</formula>
    </cfRule>
    <cfRule type="cellIs" dxfId="316" priority="324" operator="equal">
      <formula>"Definitely Low"</formula>
    </cfRule>
  </conditionalFormatting>
  <conditionalFormatting sqref="C206">
    <cfRule type="cellIs" dxfId="315" priority="317" operator="equal">
      <formula>"Definitely No"</formula>
    </cfRule>
    <cfRule type="cellIs" dxfId="314" priority="318" operator="equal">
      <formula>"Probably No"</formula>
    </cfRule>
    <cfRule type="cellIs" dxfId="313" priority="319" operator="equal">
      <formula>"Probably Yes"</formula>
    </cfRule>
    <cfRule type="cellIs" dxfId="312" priority="320" operator="equal">
      <formula>"Definitely Yes"</formula>
    </cfRule>
  </conditionalFormatting>
  <conditionalFormatting sqref="D206">
    <cfRule type="cellIs" dxfId="311" priority="313" operator="equal">
      <formula>"Definitely High"</formula>
    </cfRule>
    <cfRule type="cellIs" dxfId="310" priority="314" operator="equal">
      <formula>"Probably High"</formula>
    </cfRule>
    <cfRule type="cellIs" dxfId="309" priority="315" operator="equal">
      <formula>"Probably Low"</formula>
    </cfRule>
    <cfRule type="cellIs" dxfId="308" priority="316" operator="equal">
      <formula>"Definitely Low"</formula>
    </cfRule>
  </conditionalFormatting>
  <conditionalFormatting sqref="F203">
    <cfRule type="cellIs" dxfId="307" priority="309" operator="equal">
      <formula>"Definitely No"</formula>
    </cfRule>
    <cfRule type="cellIs" dxfId="306" priority="310" operator="equal">
      <formula>"Probably No"</formula>
    </cfRule>
    <cfRule type="cellIs" dxfId="305" priority="311" operator="equal">
      <formula>"Probably Yes"</formula>
    </cfRule>
    <cfRule type="cellIs" dxfId="304" priority="312" operator="equal">
      <formula>"Definitely Yes"</formula>
    </cfRule>
  </conditionalFormatting>
  <conditionalFormatting sqref="G203">
    <cfRule type="cellIs" dxfId="303" priority="305" operator="equal">
      <formula>"Definitely High"</formula>
    </cfRule>
    <cfRule type="cellIs" dxfId="302" priority="306" operator="equal">
      <formula>"Probably High"</formula>
    </cfRule>
    <cfRule type="cellIs" dxfId="301" priority="307" operator="equal">
      <formula>"Probably Low"</formula>
    </cfRule>
    <cfRule type="cellIs" dxfId="300" priority="308" operator="equal">
      <formula>"Definitely Low"</formula>
    </cfRule>
  </conditionalFormatting>
  <conditionalFormatting sqref="F206">
    <cfRule type="cellIs" dxfId="299" priority="301" operator="equal">
      <formula>"Definitely No"</formula>
    </cfRule>
    <cfRule type="cellIs" dxfId="298" priority="302" operator="equal">
      <formula>"Probably No"</formula>
    </cfRule>
    <cfRule type="cellIs" dxfId="297" priority="303" operator="equal">
      <formula>"Probably Yes"</formula>
    </cfRule>
    <cfRule type="cellIs" dxfId="296" priority="304" operator="equal">
      <formula>"Definitely Yes"</formula>
    </cfRule>
  </conditionalFormatting>
  <conditionalFormatting sqref="G206">
    <cfRule type="cellIs" dxfId="295" priority="297" operator="equal">
      <formula>"Definitely High"</formula>
    </cfRule>
    <cfRule type="cellIs" dxfId="294" priority="298" operator="equal">
      <formula>"Probably High"</formula>
    </cfRule>
    <cfRule type="cellIs" dxfId="293" priority="299" operator="equal">
      <formula>"Probably Low"</formula>
    </cfRule>
    <cfRule type="cellIs" dxfId="292" priority="300" operator="equal">
      <formula>"Definitely Low"</formula>
    </cfRule>
  </conditionalFormatting>
  <conditionalFormatting sqref="I203">
    <cfRule type="cellIs" dxfId="291" priority="293" operator="equal">
      <formula>"Definitely No"</formula>
    </cfRule>
    <cfRule type="cellIs" dxfId="290" priority="294" operator="equal">
      <formula>"Probably No"</formula>
    </cfRule>
    <cfRule type="cellIs" dxfId="289" priority="295" operator="equal">
      <formula>"Probably Yes"</formula>
    </cfRule>
    <cfRule type="cellIs" dxfId="288" priority="296" operator="equal">
      <formula>"Definitely Yes"</formula>
    </cfRule>
  </conditionalFormatting>
  <conditionalFormatting sqref="K203">
    <cfRule type="cellIs" dxfId="287" priority="289" operator="equal">
      <formula>"Definitely High"</formula>
    </cfRule>
    <cfRule type="cellIs" dxfId="286" priority="290" operator="equal">
      <formula>"Probably High"</formula>
    </cfRule>
    <cfRule type="cellIs" dxfId="285" priority="291" operator="equal">
      <formula>"Probably Low"</formula>
    </cfRule>
    <cfRule type="cellIs" dxfId="284" priority="292" operator="equal">
      <formula>"Definitely Low"</formula>
    </cfRule>
  </conditionalFormatting>
  <conditionalFormatting sqref="I206">
    <cfRule type="cellIs" dxfId="283" priority="285" operator="equal">
      <formula>"Definitely No"</formula>
    </cfRule>
    <cfRule type="cellIs" dxfId="282" priority="286" operator="equal">
      <formula>"Probably No"</formula>
    </cfRule>
    <cfRule type="cellIs" dxfId="281" priority="287" operator="equal">
      <formula>"Probably Yes"</formula>
    </cfRule>
    <cfRule type="cellIs" dxfId="280" priority="288" operator="equal">
      <formula>"Definitely Yes"</formula>
    </cfRule>
  </conditionalFormatting>
  <conditionalFormatting sqref="K206">
    <cfRule type="cellIs" dxfId="279" priority="281" operator="equal">
      <formula>"Definitely High"</formula>
    </cfRule>
    <cfRule type="cellIs" dxfId="278" priority="282" operator="equal">
      <formula>"Probably High"</formula>
    </cfRule>
    <cfRule type="cellIs" dxfId="277" priority="283" operator="equal">
      <formula>"Probably Low"</formula>
    </cfRule>
    <cfRule type="cellIs" dxfId="276" priority="284" operator="equal">
      <formula>"Definitely Low"</formula>
    </cfRule>
  </conditionalFormatting>
  <conditionalFormatting sqref="M203">
    <cfRule type="cellIs" dxfId="275" priority="277" operator="equal">
      <formula>"Definitely No"</formula>
    </cfRule>
    <cfRule type="cellIs" dxfId="274" priority="278" operator="equal">
      <formula>"Probably No"</formula>
    </cfRule>
    <cfRule type="cellIs" dxfId="273" priority="279" operator="equal">
      <formula>"Probably Yes"</formula>
    </cfRule>
    <cfRule type="cellIs" dxfId="272" priority="280" operator="equal">
      <formula>"Definitely Yes"</formula>
    </cfRule>
  </conditionalFormatting>
  <conditionalFormatting sqref="O203">
    <cfRule type="cellIs" dxfId="271" priority="273" operator="equal">
      <formula>"Definitely High"</formula>
    </cfRule>
    <cfRule type="cellIs" dxfId="270" priority="274" operator="equal">
      <formula>"Probably High"</formula>
    </cfRule>
    <cfRule type="cellIs" dxfId="269" priority="275" operator="equal">
      <formula>"Probably Low"</formula>
    </cfRule>
    <cfRule type="cellIs" dxfId="268" priority="276" operator="equal">
      <formula>"Definitely Low"</formula>
    </cfRule>
  </conditionalFormatting>
  <conditionalFormatting sqref="Q203">
    <cfRule type="cellIs" dxfId="267" priority="269" operator="equal">
      <formula>"Definitely No"</formula>
    </cfRule>
    <cfRule type="cellIs" dxfId="266" priority="270" operator="equal">
      <formula>"Probably No"</formula>
    </cfRule>
    <cfRule type="cellIs" dxfId="265" priority="271" operator="equal">
      <formula>"Probably Yes"</formula>
    </cfRule>
    <cfRule type="cellIs" dxfId="264" priority="272" operator="equal">
      <formula>"Definitely Yes"</formula>
    </cfRule>
  </conditionalFormatting>
  <conditionalFormatting sqref="M206">
    <cfRule type="cellIs" dxfId="263" priority="265" operator="equal">
      <formula>"Definitely No"</formula>
    </cfRule>
    <cfRule type="cellIs" dxfId="262" priority="266" operator="equal">
      <formula>"Probably No"</formula>
    </cfRule>
    <cfRule type="cellIs" dxfId="261" priority="267" operator="equal">
      <formula>"Probably Yes"</formula>
    </cfRule>
    <cfRule type="cellIs" dxfId="260" priority="268" operator="equal">
      <formula>"Definitely Yes"</formula>
    </cfRule>
  </conditionalFormatting>
  <conditionalFormatting sqref="O206">
    <cfRule type="cellIs" dxfId="259" priority="261" operator="equal">
      <formula>"Definitely High"</formula>
    </cfRule>
    <cfRule type="cellIs" dxfId="258" priority="262" operator="equal">
      <formula>"Probably High"</formula>
    </cfRule>
    <cfRule type="cellIs" dxfId="257" priority="263" operator="equal">
      <formula>"Probably Low"</formula>
    </cfRule>
    <cfRule type="cellIs" dxfId="256" priority="264" operator="equal">
      <formula>"Definitely Low"</formula>
    </cfRule>
  </conditionalFormatting>
  <conditionalFormatting sqref="Q206">
    <cfRule type="cellIs" dxfId="255" priority="257" operator="equal">
      <formula>"Definitely No"</formula>
    </cfRule>
    <cfRule type="cellIs" dxfId="254" priority="258" operator="equal">
      <formula>"Probably No"</formula>
    </cfRule>
    <cfRule type="cellIs" dxfId="253" priority="259" operator="equal">
      <formula>"Probably Yes"</formula>
    </cfRule>
    <cfRule type="cellIs" dxfId="252" priority="260" operator="equal">
      <formula>"Definitely Yes"</formula>
    </cfRule>
  </conditionalFormatting>
  <conditionalFormatting sqref="S203">
    <cfRule type="cellIs" dxfId="251" priority="253" operator="equal">
      <formula>"Definitely High"</formula>
    </cfRule>
    <cfRule type="cellIs" dxfId="250" priority="254" operator="equal">
      <formula>"Probably High"</formula>
    </cfRule>
    <cfRule type="cellIs" dxfId="249" priority="255" operator="equal">
      <formula>"Probably Low"</formula>
    </cfRule>
    <cfRule type="cellIs" dxfId="248" priority="256" operator="equal">
      <formula>"Definitely Low"</formula>
    </cfRule>
  </conditionalFormatting>
  <conditionalFormatting sqref="S206">
    <cfRule type="cellIs" dxfId="247" priority="249" operator="equal">
      <formula>"Definitely High"</formula>
    </cfRule>
    <cfRule type="cellIs" dxfId="246" priority="250" operator="equal">
      <formula>"Probably High"</formula>
    </cfRule>
    <cfRule type="cellIs" dxfId="245" priority="251" operator="equal">
      <formula>"Probably Low"</formula>
    </cfRule>
    <cfRule type="cellIs" dxfId="244" priority="252" operator="equal">
      <formula>"Definitely Low"</formula>
    </cfRule>
  </conditionalFormatting>
  <conditionalFormatting sqref="AD204">
    <cfRule type="cellIs" dxfId="243" priority="245" operator="equal">
      <formula>"Definitely High"</formula>
    </cfRule>
    <cfRule type="cellIs" dxfId="242" priority="246" operator="equal">
      <formula>"Probably High"</formula>
    </cfRule>
    <cfRule type="cellIs" dxfId="241" priority="247" operator="equal">
      <formula>"Probably Low"</formula>
    </cfRule>
    <cfRule type="cellIs" dxfId="240" priority="248" operator="equal">
      <formula>"Definitely Low"</formula>
    </cfRule>
  </conditionalFormatting>
  <conditionalFormatting sqref="AD205">
    <cfRule type="cellIs" dxfId="239" priority="241" operator="equal">
      <formula>"Definitely High"</formula>
    </cfRule>
    <cfRule type="cellIs" dxfId="238" priority="242" operator="equal">
      <formula>"Probably High"</formula>
    </cfRule>
    <cfRule type="cellIs" dxfId="237" priority="243" operator="equal">
      <formula>"Probably Low"</formula>
    </cfRule>
    <cfRule type="cellIs" dxfId="236" priority="244" operator="equal">
      <formula>"Definitely Low"</formula>
    </cfRule>
  </conditionalFormatting>
  <conditionalFormatting sqref="AD207">
    <cfRule type="cellIs" dxfId="235" priority="237" operator="equal">
      <formula>"Definitely High"</formula>
    </cfRule>
    <cfRule type="cellIs" dxfId="234" priority="238" operator="equal">
      <formula>"Probably High"</formula>
    </cfRule>
    <cfRule type="cellIs" dxfId="233" priority="239" operator="equal">
      <formula>"Probably Low"</formula>
    </cfRule>
    <cfRule type="cellIs" dxfId="232" priority="240" operator="equal">
      <formula>"Definitely Low"</formula>
    </cfRule>
  </conditionalFormatting>
  <conditionalFormatting sqref="AD208">
    <cfRule type="cellIs" dxfId="231" priority="233" operator="equal">
      <formula>"Definitely High"</formula>
    </cfRule>
    <cfRule type="cellIs" dxfId="230" priority="234" operator="equal">
      <formula>"Probably High"</formula>
    </cfRule>
    <cfRule type="cellIs" dxfId="229" priority="235" operator="equal">
      <formula>"Probably Low"</formula>
    </cfRule>
    <cfRule type="cellIs" dxfId="228" priority="236" operator="equal">
      <formula>"Definitely Low"</formula>
    </cfRule>
  </conditionalFormatting>
  <conditionalFormatting sqref="C212">
    <cfRule type="cellIs" dxfId="227" priority="229" operator="equal">
      <formula>"Definitely No"</formula>
    </cfRule>
    <cfRule type="cellIs" dxfId="226" priority="230" operator="equal">
      <formula>"Probably No"</formula>
    </cfRule>
    <cfRule type="cellIs" dxfId="225" priority="231" operator="equal">
      <formula>"Probably Yes"</formula>
    </cfRule>
    <cfRule type="cellIs" dxfId="224" priority="232" operator="equal">
      <formula>"Definitely Yes"</formula>
    </cfRule>
  </conditionalFormatting>
  <conditionalFormatting sqref="D212">
    <cfRule type="cellIs" dxfId="223" priority="225" operator="equal">
      <formula>"Definitely High"</formula>
    </cfRule>
    <cfRule type="cellIs" dxfId="222" priority="226" operator="equal">
      <formula>"Probably High"</formula>
    </cfRule>
    <cfRule type="cellIs" dxfId="221" priority="227" operator="equal">
      <formula>"Probably Low"</formula>
    </cfRule>
    <cfRule type="cellIs" dxfId="220" priority="228" operator="equal">
      <formula>"Definitely Low"</formula>
    </cfRule>
  </conditionalFormatting>
  <conditionalFormatting sqref="C214">
    <cfRule type="cellIs" dxfId="219" priority="221" operator="equal">
      <formula>"Definitely No"</formula>
    </cfRule>
    <cfRule type="cellIs" dxfId="218" priority="222" operator="equal">
      <formula>"Probably No"</formula>
    </cfRule>
    <cfRule type="cellIs" dxfId="217" priority="223" operator="equal">
      <formula>"Probably Yes"</formula>
    </cfRule>
    <cfRule type="cellIs" dxfId="216" priority="224" operator="equal">
      <formula>"Definitely Yes"</formula>
    </cfRule>
  </conditionalFormatting>
  <conditionalFormatting sqref="D214">
    <cfRule type="cellIs" dxfId="215" priority="217" operator="equal">
      <formula>"Definitely High"</formula>
    </cfRule>
    <cfRule type="cellIs" dxfId="214" priority="218" operator="equal">
      <formula>"Probably High"</formula>
    </cfRule>
    <cfRule type="cellIs" dxfId="213" priority="219" operator="equal">
      <formula>"Probably Low"</formula>
    </cfRule>
    <cfRule type="cellIs" dxfId="212" priority="220" operator="equal">
      <formula>"Definitely Low"</formula>
    </cfRule>
  </conditionalFormatting>
  <conditionalFormatting sqref="F212">
    <cfRule type="cellIs" dxfId="211" priority="213" operator="equal">
      <formula>"Definitely No"</formula>
    </cfRule>
    <cfRule type="cellIs" dxfId="210" priority="214" operator="equal">
      <formula>"Probably No"</formula>
    </cfRule>
    <cfRule type="cellIs" dxfId="209" priority="215" operator="equal">
      <formula>"Probably Yes"</formula>
    </cfRule>
    <cfRule type="cellIs" dxfId="208" priority="216" operator="equal">
      <formula>"Definitely Yes"</formula>
    </cfRule>
  </conditionalFormatting>
  <conditionalFormatting sqref="G212">
    <cfRule type="cellIs" dxfId="207" priority="209" operator="equal">
      <formula>"Definitely High"</formula>
    </cfRule>
    <cfRule type="cellIs" dxfId="206" priority="210" operator="equal">
      <formula>"Probably High"</formula>
    </cfRule>
    <cfRule type="cellIs" dxfId="205" priority="211" operator="equal">
      <formula>"Probably Low"</formula>
    </cfRule>
    <cfRule type="cellIs" dxfId="204" priority="212" operator="equal">
      <formula>"Definitely Low"</formula>
    </cfRule>
  </conditionalFormatting>
  <conditionalFormatting sqref="F214">
    <cfRule type="cellIs" dxfId="203" priority="205" operator="equal">
      <formula>"Definitely No"</formula>
    </cfRule>
    <cfRule type="cellIs" dxfId="202" priority="206" operator="equal">
      <formula>"Probably No"</formula>
    </cfRule>
    <cfRule type="cellIs" dxfId="201" priority="207" operator="equal">
      <formula>"Probably Yes"</formula>
    </cfRule>
    <cfRule type="cellIs" dxfId="200" priority="208" operator="equal">
      <formula>"Definitely Yes"</formula>
    </cfRule>
  </conditionalFormatting>
  <conditionalFormatting sqref="G214">
    <cfRule type="cellIs" dxfId="199" priority="201" operator="equal">
      <formula>"Definitely High"</formula>
    </cfRule>
    <cfRule type="cellIs" dxfId="198" priority="202" operator="equal">
      <formula>"Probably High"</formula>
    </cfRule>
    <cfRule type="cellIs" dxfId="197" priority="203" operator="equal">
      <formula>"Probably Low"</formula>
    </cfRule>
    <cfRule type="cellIs" dxfId="196" priority="204" operator="equal">
      <formula>"Definitely Low"</formula>
    </cfRule>
  </conditionalFormatting>
  <conditionalFormatting sqref="I212">
    <cfRule type="cellIs" dxfId="195" priority="197" operator="equal">
      <formula>"Definitely No"</formula>
    </cfRule>
    <cfRule type="cellIs" dxfId="194" priority="198" operator="equal">
      <formula>"Probably No"</formula>
    </cfRule>
    <cfRule type="cellIs" dxfId="193" priority="199" operator="equal">
      <formula>"Probably Yes"</formula>
    </cfRule>
    <cfRule type="cellIs" dxfId="192" priority="200" operator="equal">
      <formula>"Definitely Yes"</formula>
    </cfRule>
  </conditionalFormatting>
  <conditionalFormatting sqref="K212">
    <cfRule type="cellIs" dxfId="191" priority="193" operator="equal">
      <formula>"Definitely High"</formula>
    </cfRule>
    <cfRule type="cellIs" dxfId="190" priority="194" operator="equal">
      <formula>"Probably High"</formula>
    </cfRule>
    <cfRule type="cellIs" dxfId="189" priority="195" operator="equal">
      <formula>"Probably Low"</formula>
    </cfRule>
    <cfRule type="cellIs" dxfId="188" priority="196" operator="equal">
      <formula>"Definitely Low"</formula>
    </cfRule>
  </conditionalFormatting>
  <conditionalFormatting sqref="I214">
    <cfRule type="cellIs" dxfId="187" priority="189" operator="equal">
      <formula>"Definitely No"</formula>
    </cfRule>
    <cfRule type="cellIs" dxfId="186" priority="190" operator="equal">
      <formula>"Probably No"</formula>
    </cfRule>
    <cfRule type="cellIs" dxfId="185" priority="191" operator="equal">
      <formula>"Probably Yes"</formula>
    </cfRule>
    <cfRule type="cellIs" dxfId="184" priority="192" operator="equal">
      <formula>"Definitely Yes"</formula>
    </cfRule>
  </conditionalFormatting>
  <conditionalFormatting sqref="K214">
    <cfRule type="cellIs" dxfId="183" priority="185" operator="equal">
      <formula>"Definitely High"</formula>
    </cfRule>
    <cfRule type="cellIs" dxfId="182" priority="186" operator="equal">
      <formula>"Probably High"</formula>
    </cfRule>
    <cfRule type="cellIs" dxfId="181" priority="187" operator="equal">
      <formula>"Probably Low"</formula>
    </cfRule>
    <cfRule type="cellIs" dxfId="180" priority="188" operator="equal">
      <formula>"Definitely Low"</formula>
    </cfRule>
  </conditionalFormatting>
  <conditionalFormatting sqref="Q214">
    <cfRule type="cellIs" dxfId="179" priority="153" operator="equal">
      <formula>"Definitely No"</formula>
    </cfRule>
    <cfRule type="cellIs" dxfId="178" priority="154" operator="equal">
      <formula>"Probably No"</formula>
    </cfRule>
    <cfRule type="cellIs" dxfId="177" priority="155" operator="equal">
      <formula>"Probably Yes"</formula>
    </cfRule>
    <cfRule type="cellIs" dxfId="176" priority="156" operator="equal">
      <formula>"Definitely Yes"</formula>
    </cfRule>
  </conditionalFormatting>
  <conditionalFormatting sqref="M212">
    <cfRule type="cellIs" dxfId="175" priority="177" operator="equal">
      <formula>"Definitely No"</formula>
    </cfRule>
    <cfRule type="cellIs" dxfId="174" priority="178" operator="equal">
      <formula>"Probably No"</formula>
    </cfRule>
    <cfRule type="cellIs" dxfId="173" priority="179" operator="equal">
      <formula>"Probably Yes"</formula>
    </cfRule>
    <cfRule type="cellIs" dxfId="172" priority="180" operator="equal">
      <formula>"Definitely Yes"</formula>
    </cfRule>
  </conditionalFormatting>
  <conditionalFormatting sqref="O212">
    <cfRule type="cellIs" dxfId="171" priority="173" operator="equal">
      <formula>"Definitely High"</formula>
    </cfRule>
    <cfRule type="cellIs" dxfId="170" priority="174" operator="equal">
      <formula>"Probably High"</formula>
    </cfRule>
    <cfRule type="cellIs" dxfId="169" priority="175" operator="equal">
      <formula>"Probably Low"</formula>
    </cfRule>
    <cfRule type="cellIs" dxfId="168" priority="176" operator="equal">
      <formula>"Definitely Low"</formula>
    </cfRule>
  </conditionalFormatting>
  <conditionalFormatting sqref="Q212">
    <cfRule type="cellIs" dxfId="167" priority="169" operator="equal">
      <formula>"Definitely No"</formula>
    </cfRule>
    <cfRule type="cellIs" dxfId="166" priority="170" operator="equal">
      <formula>"Probably No"</formula>
    </cfRule>
    <cfRule type="cellIs" dxfId="165" priority="171" operator="equal">
      <formula>"Probably Yes"</formula>
    </cfRule>
    <cfRule type="cellIs" dxfId="164" priority="172" operator="equal">
      <formula>"Definitely Yes"</formula>
    </cfRule>
  </conditionalFormatting>
  <conditionalFormatting sqref="S212">
    <cfRule type="cellIs" dxfId="163" priority="165" operator="equal">
      <formula>"Definitely High"</formula>
    </cfRule>
    <cfRule type="cellIs" dxfId="162" priority="166" operator="equal">
      <formula>"Probably High"</formula>
    </cfRule>
    <cfRule type="cellIs" dxfId="161" priority="167" operator="equal">
      <formula>"Probably Low"</formula>
    </cfRule>
    <cfRule type="cellIs" dxfId="160" priority="168" operator="equal">
      <formula>"Definitely Low"</formula>
    </cfRule>
  </conditionalFormatting>
  <conditionalFormatting sqref="M214">
    <cfRule type="cellIs" dxfId="159" priority="161" operator="equal">
      <formula>"Definitely No"</formula>
    </cfRule>
    <cfRule type="cellIs" dxfId="158" priority="162" operator="equal">
      <formula>"Probably No"</formula>
    </cfRule>
    <cfRule type="cellIs" dxfId="157" priority="163" operator="equal">
      <formula>"Probably Yes"</formula>
    </cfRule>
    <cfRule type="cellIs" dxfId="156" priority="164" operator="equal">
      <formula>"Definitely Yes"</formula>
    </cfRule>
  </conditionalFormatting>
  <conditionalFormatting sqref="O214">
    <cfRule type="cellIs" dxfId="155" priority="157" operator="equal">
      <formula>"Definitely High"</formula>
    </cfRule>
    <cfRule type="cellIs" dxfId="154" priority="158" operator="equal">
      <formula>"Probably High"</formula>
    </cfRule>
    <cfRule type="cellIs" dxfId="153" priority="159" operator="equal">
      <formula>"Probably Low"</formula>
    </cfRule>
    <cfRule type="cellIs" dxfId="152" priority="160" operator="equal">
      <formula>"Definitely Low"</formula>
    </cfRule>
  </conditionalFormatting>
  <conditionalFormatting sqref="S214">
    <cfRule type="cellIs" dxfId="151" priority="149" operator="equal">
      <formula>"Definitely High"</formula>
    </cfRule>
    <cfRule type="cellIs" dxfId="150" priority="150" operator="equal">
      <formula>"Probably High"</formula>
    </cfRule>
    <cfRule type="cellIs" dxfId="149" priority="151" operator="equal">
      <formula>"Probably Low"</formula>
    </cfRule>
    <cfRule type="cellIs" dxfId="148" priority="152" operator="equal">
      <formula>"Definitely Low"</formula>
    </cfRule>
  </conditionalFormatting>
  <conditionalFormatting sqref="AD212">
    <cfRule type="cellIs" dxfId="147" priority="145" operator="equal">
      <formula>"Definitely High"</formula>
    </cfRule>
    <cfRule type="cellIs" dxfId="146" priority="146" operator="equal">
      <formula>"Probably High"</formula>
    </cfRule>
    <cfRule type="cellIs" dxfId="145" priority="147" operator="equal">
      <formula>"Probably Low"</formula>
    </cfRule>
    <cfRule type="cellIs" dxfId="144" priority="148" operator="equal">
      <formula>"Definitely Low"</formula>
    </cfRule>
  </conditionalFormatting>
  <conditionalFormatting sqref="AD216">
    <cfRule type="cellIs" dxfId="143" priority="141" operator="equal">
      <formula>"Definitely High"</formula>
    </cfRule>
    <cfRule type="cellIs" dxfId="142" priority="142" operator="equal">
      <formula>"Probably High"</formula>
    </cfRule>
    <cfRule type="cellIs" dxfId="141" priority="143" operator="equal">
      <formula>"Probably Low"</formula>
    </cfRule>
    <cfRule type="cellIs" dxfId="140" priority="144" operator="equal">
      <formula>"Definitely Low"</formula>
    </cfRule>
  </conditionalFormatting>
  <conditionalFormatting sqref="AD215">
    <cfRule type="cellIs" dxfId="139" priority="137" operator="equal">
      <formula>"Definitely High"</formula>
    </cfRule>
    <cfRule type="cellIs" dxfId="138" priority="138" operator="equal">
      <formula>"Probably High"</formula>
    </cfRule>
    <cfRule type="cellIs" dxfId="137" priority="139" operator="equal">
      <formula>"Probably Low"</formula>
    </cfRule>
    <cfRule type="cellIs" dxfId="136" priority="140" operator="equal">
      <formula>"Definitely Low"</formula>
    </cfRule>
  </conditionalFormatting>
  <conditionalFormatting sqref="AD217">
    <cfRule type="cellIs" dxfId="135" priority="133" operator="equal">
      <formula>"Definitely High"</formula>
    </cfRule>
    <cfRule type="cellIs" dxfId="134" priority="134" operator="equal">
      <formula>"Probably High"</formula>
    </cfRule>
    <cfRule type="cellIs" dxfId="133" priority="135" operator="equal">
      <formula>"Probably Low"</formula>
    </cfRule>
    <cfRule type="cellIs" dxfId="132" priority="136" operator="equal">
      <formula>"Definitely Low"</formula>
    </cfRule>
  </conditionalFormatting>
  <conditionalFormatting sqref="AD221">
    <cfRule type="cellIs" dxfId="131" priority="129" operator="equal">
      <formula>"Definitely High"</formula>
    </cfRule>
    <cfRule type="cellIs" dxfId="130" priority="130" operator="equal">
      <formula>"Probably High"</formula>
    </cfRule>
    <cfRule type="cellIs" dxfId="129" priority="131" operator="equal">
      <formula>"Probably Low"</formula>
    </cfRule>
    <cfRule type="cellIs" dxfId="128" priority="132" operator="equal">
      <formula>"Definitely Low"</formula>
    </cfRule>
  </conditionalFormatting>
  <conditionalFormatting sqref="AD222">
    <cfRule type="cellIs" dxfId="127" priority="125" operator="equal">
      <formula>"Definitely High"</formula>
    </cfRule>
    <cfRule type="cellIs" dxfId="126" priority="126" operator="equal">
      <formula>"Probably High"</formula>
    </cfRule>
    <cfRule type="cellIs" dxfId="125" priority="127" operator="equal">
      <formula>"Probably Low"</formula>
    </cfRule>
    <cfRule type="cellIs" dxfId="124" priority="128" operator="equal">
      <formula>"Definitely Low"</formula>
    </cfRule>
  </conditionalFormatting>
  <conditionalFormatting sqref="AD11">
    <cfRule type="cellIs" dxfId="123" priority="121" operator="equal">
      <formula>"Definitely High"</formula>
    </cfRule>
    <cfRule type="cellIs" dxfId="122" priority="122" operator="equal">
      <formula>"Probably High"</formula>
    </cfRule>
    <cfRule type="cellIs" dxfId="121" priority="123" operator="equal">
      <formula>"Probably Low"</formula>
    </cfRule>
    <cfRule type="cellIs" dxfId="120" priority="124" operator="equal">
      <formula>"Definitely Low"</formula>
    </cfRule>
  </conditionalFormatting>
  <conditionalFormatting sqref="AD12">
    <cfRule type="cellIs" dxfId="119" priority="117" operator="equal">
      <formula>"Definitely High"</formula>
    </cfRule>
    <cfRule type="cellIs" dxfId="118" priority="118" operator="equal">
      <formula>"Probably High"</formula>
    </cfRule>
    <cfRule type="cellIs" dxfId="117" priority="119" operator="equal">
      <formula>"Probably Low"</formula>
    </cfRule>
    <cfRule type="cellIs" dxfId="116" priority="120" operator="equal">
      <formula>"Definitely Low"</formula>
    </cfRule>
  </conditionalFormatting>
  <conditionalFormatting sqref="AD24">
    <cfRule type="cellIs" dxfId="115" priority="113" operator="equal">
      <formula>"Definitely High"</formula>
    </cfRule>
    <cfRule type="cellIs" dxfId="114" priority="114" operator="equal">
      <formula>"Probably High"</formula>
    </cfRule>
    <cfRule type="cellIs" dxfId="113" priority="115" operator="equal">
      <formula>"Probably Low"</formula>
    </cfRule>
    <cfRule type="cellIs" dxfId="112" priority="116" operator="equal">
      <formula>"Definitely Low"</formula>
    </cfRule>
  </conditionalFormatting>
  <conditionalFormatting sqref="AD29">
    <cfRule type="cellIs" dxfId="111" priority="109" operator="equal">
      <formula>"Definitely High"</formula>
    </cfRule>
    <cfRule type="cellIs" dxfId="110" priority="110" operator="equal">
      <formula>"Probably High"</formula>
    </cfRule>
    <cfRule type="cellIs" dxfId="109" priority="111" operator="equal">
      <formula>"Probably Low"</formula>
    </cfRule>
    <cfRule type="cellIs" dxfId="108" priority="112" operator="equal">
      <formula>"Definitely Low"</formula>
    </cfRule>
  </conditionalFormatting>
  <conditionalFormatting sqref="AD35">
    <cfRule type="cellIs" dxfId="107" priority="105" operator="equal">
      <formula>"Definitely High"</formula>
    </cfRule>
    <cfRule type="cellIs" dxfId="106" priority="106" operator="equal">
      <formula>"Probably High"</formula>
    </cfRule>
    <cfRule type="cellIs" dxfId="105" priority="107" operator="equal">
      <formula>"Probably Low"</formula>
    </cfRule>
    <cfRule type="cellIs" dxfId="104" priority="108" operator="equal">
      <formula>"Definitely Low"</formula>
    </cfRule>
  </conditionalFormatting>
  <conditionalFormatting sqref="AD45">
    <cfRule type="cellIs" dxfId="103" priority="101" operator="equal">
      <formula>"Definitely High"</formula>
    </cfRule>
    <cfRule type="cellIs" dxfId="102" priority="102" operator="equal">
      <formula>"Probably High"</formula>
    </cfRule>
    <cfRule type="cellIs" dxfId="101" priority="103" operator="equal">
      <formula>"Probably Low"</formula>
    </cfRule>
    <cfRule type="cellIs" dxfId="100" priority="104" operator="equal">
      <formula>"Definitely Low"</formula>
    </cfRule>
  </conditionalFormatting>
  <conditionalFormatting sqref="AD58">
    <cfRule type="cellIs" dxfId="99" priority="97" operator="equal">
      <formula>"Definitely High"</formula>
    </cfRule>
    <cfRule type="cellIs" dxfId="98" priority="98" operator="equal">
      <formula>"Probably High"</formula>
    </cfRule>
    <cfRule type="cellIs" dxfId="97" priority="99" operator="equal">
      <formula>"Probably Low"</formula>
    </cfRule>
    <cfRule type="cellIs" dxfId="96" priority="100" operator="equal">
      <formula>"Definitely Low"</formula>
    </cfRule>
  </conditionalFormatting>
  <conditionalFormatting sqref="AD64">
    <cfRule type="cellIs" dxfId="95" priority="93" operator="equal">
      <formula>"Definitely High"</formula>
    </cfRule>
    <cfRule type="cellIs" dxfId="94" priority="94" operator="equal">
      <formula>"Probably High"</formula>
    </cfRule>
    <cfRule type="cellIs" dxfId="93" priority="95" operator="equal">
      <formula>"Probably Low"</formula>
    </cfRule>
    <cfRule type="cellIs" dxfId="92" priority="96" operator="equal">
      <formula>"Definitely Low"</formula>
    </cfRule>
  </conditionalFormatting>
  <conditionalFormatting sqref="AD71">
    <cfRule type="cellIs" dxfId="91" priority="89" operator="equal">
      <formula>"Definitely High"</formula>
    </cfRule>
    <cfRule type="cellIs" dxfId="90" priority="90" operator="equal">
      <formula>"Probably High"</formula>
    </cfRule>
    <cfRule type="cellIs" dxfId="89" priority="91" operator="equal">
      <formula>"Probably Low"</formula>
    </cfRule>
    <cfRule type="cellIs" dxfId="88" priority="92" operator="equal">
      <formula>"Definitely Low"</formula>
    </cfRule>
  </conditionalFormatting>
  <conditionalFormatting sqref="AD70">
    <cfRule type="cellIs" dxfId="87" priority="85" operator="equal">
      <formula>"Definitely High"</formula>
    </cfRule>
    <cfRule type="cellIs" dxfId="86" priority="86" operator="equal">
      <formula>"Probably High"</formula>
    </cfRule>
    <cfRule type="cellIs" dxfId="85" priority="87" operator="equal">
      <formula>"Probably Low"</formula>
    </cfRule>
    <cfRule type="cellIs" dxfId="84" priority="88" operator="equal">
      <formula>"Definitely Low"</formula>
    </cfRule>
  </conditionalFormatting>
  <conditionalFormatting sqref="AD89">
    <cfRule type="cellIs" dxfId="83" priority="81" operator="equal">
      <formula>"Definitely High"</formula>
    </cfRule>
    <cfRule type="cellIs" dxfId="82" priority="82" operator="equal">
      <formula>"Probably High"</formula>
    </cfRule>
    <cfRule type="cellIs" dxfId="81" priority="83" operator="equal">
      <formula>"Probably Low"</formula>
    </cfRule>
    <cfRule type="cellIs" dxfId="80" priority="84" operator="equal">
      <formula>"Definitely Low"</formula>
    </cfRule>
  </conditionalFormatting>
  <conditionalFormatting sqref="AD102">
    <cfRule type="cellIs" dxfId="79" priority="77" operator="equal">
      <formula>"Definitely High"</formula>
    </cfRule>
    <cfRule type="cellIs" dxfId="78" priority="78" operator="equal">
      <formula>"Probably High"</formula>
    </cfRule>
    <cfRule type="cellIs" dxfId="77" priority="79" operator="equal">
      <formula>"Probably Low"</formula>
    </cfRule>
    <cfRule type="cellIs" dxfId="76" priority="80" operator="equal">
      <formula>"Definitely Low"</formula>
    </cfRule>
  </conditionalFormatting>
  <conditionalFormatting sqref="AD98">
    <cfRule type="cellIs" dxfId="75" priority="73" operator="equal">
      <formula>"Definitely High"</formula>
    </cfRule>
    <cfRule type="cellIs" dxfId="74" priority="74" operator="equal">
      <formula>"Probably High"</formula>
    </cfRule>
    <cfRule type="cellIs" dxfId="73" priority="75" operator="equal">
      <formula>"Probably Low"</formula>
    </cfRule>
    <cfRule type="cellIs" dxfId="72" priority="76" operator="equal">
      <formula>"Definitely Low"</formula>
    </cfRule>
  </conditionalFormatting>
  <conditionalFormatting sqref="AD103">
    <cfRule type="cellIs" dxfId="71" priority="69" operator="equal">
      <formula>"Definitely High"</formula>
    </cfRule>
    <cfRule type="cellIs" dxfId="70" priority="70" operator="equal">
      <formula>"Probably High"</formula>
    </cfRule>
    <cfRule type="cellIs" dxfId="69" priority="71" operator="equal">
      <formula>"Probably Low"</formula>
    </cfRule>
    <cfRule type="cellIs" dxfId="68" priority="72" operator="equal">
      <formula>"Definitely Low"</formula>
    </cfRule>
  </conditionalFormatting>
  <conditionalFormatting sqref="C109">
    <cfRule type="cellIs" dxfId="67" priority="65" operator="equal">
      <formula>"Definitely No"</formula>
    </cfRule>
    <cfRule type="cellIs" dxfId="66" priority="66" operator="equal">
      <formula>"Probably No"</formula>
    </cfRule>
    <cfRule type="cellIs" dxfId="65" priority="67" operator="equal">
      <formula>"Probably Yes"</formula>
    </cfRule>
    <cfRule type="cellIs" dxfId="64" priority="68" operator="equal">
      <formula>"Definitely Yes"</formula>
    </cfRule>
  </conditionalFormatting>
  <conditionalFormatting sqref="D109">
    <cfRule type="cellIs" dxfId="63" priority="61" operator="equal">
      <formula>"Definitely High"</formula>
    </cfRule>
    <cfRule type="cellIs" dxfId="62" priority="62" operator="equal">
      <formula>"Probably High"</formula>
    </cfRule>
    <cfRule type="cellIs" dxfId="61" priority="63" operator="equal">
      <formula>"Probably Low"</formula>
    </cfRule>
    <cfRule type="cellIs" dxfId="60" priority="64" operator="equal">
      <formula>"Definitely Low"</formula>
    </cfRule>
  </conditionalFormatting>
  <conditionalFormatting sqref="F109">
    <cfRule type="cellIs" dxfId="59" priority="57" operator="equal">
      <formula>"Definitely No"</formula>
    </cfRule>
    <cfRule type="cellIs" dxfId="58" priority="58" operator="equal">
      <formula>"Probably No"</formula>
    </cfRule>
    <cfRule type="cellIs" dxfId="57" priority="59" operator="equal">
      <formula>"Probably Yes"</formula>
    </cfRule>
    <cfRule type="cellIs" dxfId="56" priority="60" operator="equal">
      <formula>"Definitely Yes"</formula>
    </cfRule>
  </conditionalFormatting>
  <conditionalFormatting sqref="G109">
    <cfRule type="cellIs" dxfId="55" priority="53" operator="equal">
      <formula>"Definitely High"</formula>
    </cfRule>
    <cfRule type="cellIs" dxfId="54" priority="54" operator="equal">
      <formula>"Probably High"</formula>
    </cfRule>
    <cfRule type="cellIs" dxfId="53" priority="55" operator="equal">
      <formula>"Probably Low"</formula>
    </cfRule>
    <cfRule type="cellIs" dxfId="52" priority="56" operator="equal">
      <formula>"Definitely Low"</formula>
    </cfRule>
  </conditionalFormatting>
  <conditionalFormatting sqref="I109">
    <cfRule type="cellIs" dxfId="51" priority="49" operator="equal">
      <formula>"Definitely No"</formula>
    </cfRule>
    <cfRule type="cellIs" dxfId="50" priority="50" operator="equal">
      <formula>"Probably No"</formula>
    </cfRule>
    <cfRule type="cellIs" dxfId="49" priority="51" operator="equal">
      <formula>"Probably Yes"</formula>
    </cfRule>
    <cfRule type="cellIs" dxfId="48" priority="52" operator="equal">
      <formula>"Definitely Yes"</formula>
    </cfRule>
  </conditionalFormatting>
  <conditionalFormatting sqref="K109">
    <cfRule type="cellIs" dxfId="47" priority="45" operator="equal">
      <formula>"Definitely No"</formula>
    </cfRule>
    <cfRule type="cellIs" dxfId="46" priority="46" operator="equal">
      <formula>"Probably No"</formula>
    </cfRule>
    <cfRule type="cellIs" dxfId="45" priority="47" operator="equal">
      <formula>"Probably Yes"</formula>
    </cfRule>
    <cfRule type="cellIs" dxfId="44" priority="48" operator="equal">
      <formula>"Definitely Yes"</formula>
    </cfRule>
  </conditionalFormatting>
  <conditionalFormatting sqref="M109">
    <cfRule type="cellIs" dxfId="43" priority="41" operator="equal">
      <formula>"Definitely No"</formula>
    </cfRule>
    <cfRule type="cellIs" dxfId="42" priority="42" operator="equal">
      <formula>"Probably No"</formula>
    </cfRule>
    <cfRule type="cellIs" dxfId="41" priority="43" operator="equal">
      <formula>"Probably Yes"</formula>
    </cfRule>
    <cfRule type="cellIs" dxfId="40" priority="44" operator="equal">
      <formula>"Definitely Yes"</formula>
    </cfRule>
  </conditionalFormatting>
  <conditionalFormatting sqref="O109">
    <cfRule type="cellIs" dxfId="39" priority="37" operator="equal">
      <formula>"Definitely High"</formula>
    </cfRule>
    <cfRule type="cellIs" dxfId="38" priority="38" operator="equal">
      <formula>"Probably High"</formula>
    </cfRule>
    <cfRule type="cellIs" dxfId="37" priority="39" operator="equal">
      <formula>"Probably Low"</formula>
    </cfRule>
    <cfRule type="cellIs" dxfId="36" priority="40" operator="equal">
      <formula>"Definitely Low"</formula>
    </cfRule>
  </conditionalFormatting>
  <conditionalFormatting sqref="Q109">
    <cfRule type="cellIs" dxfId="35" priority="33" operator="equal">
      <formula>"Definitely No"</formula>
    </cfRule>
    <cfRule type="cellIs" dxfId="34" priority="34" operator="equal">
      <formula>"Probably No"</formula>
    </cfRule>
    <cfRule type="cellIs" dxfId="33" priority="35" operator="equal">
      <formula>"Probably Yes"</formula>
    </cfRule>
    <cfRule type="cellIs" dxfId="32" priority="36" operator="equal">
      <formula>"Definitely Yes"</formula>
    </cfRule>
  </conditionalFormatting>
  <conditionalFormatting sqref="S109">
    <cfRule type="cellIs" dxfId="31" priority="29" operator="equal">
      <formula>"Definitely High"</formula>
    </cfRule>
    <cfRule type="cellIs" dxfId="30" priority="30" operator="equal">
      <formula>"Probably High"</formula>
    </cfRule>
    <cfRule type="cellIs" dxfId="29" priority="31" operator="equal">
      <formula>"Probably Low"</formula>
    </cfRule>
    <cfRule type="cellIs" dxfId="28" priority="32" operator="equal">
      <formula>"Definitely Low"</formula>
    </cfRule>
  </conditionalFormatting>
  <conditionalFormatting sqref="AD110">
    <cfRule type="cellIs" dxfId="27" priority="25" operator="equal">
      <formula>"Definitely High"</formula>
    </cfRule>
    <cfRule type="cellIs" dxfId="26" priority="26" operator="equal">
      <formula>"Probably High"</formula>
    </cfRule>
    <cfRule type="cellIs" dxfId="25" priority="27" operator="equal">
      <formula>"Probably Low"</formula>
    </cfRule>
    <cfRule type="cellIs" dxfId="24" priority="28" operator="equal">
      <formula>"Definitely Low"</formula>
    </cfRule>
  </conditionalFormatting>
  <conditionalFormatting sqref="AD111">
    <cfRule type="cellIs" dxfId="23" priority="21" operator="equal">
      <formula>"Definitely High"</formula>
    </cfRule>
    <cfRule type="cellIs" dxfId="22" priority="22" operator="equal">
      <formula>"Probably High"</formula>
    </cfRule>
    <cfRule type="cellIs" dxfId="21" priority="23" operator="equal">
      <formula>"Probably Low"</formula>
    </cfRule>
    <cfRule type="cellIs" dxfId="20" priority="24" operator="equal">
      <formula>"Definitely Low"</formula>
    </cfRule>
  </conditionalFormatting>
  <conditionalFormatting sqref="AD112">
    <cfRule type="cellIs" dxfId="19" priority="17" operator="equal">
      <formula>"Definitely High"</formula>
    </cfRule>
    <cfRule type="cellIs" dxfId="18" priority="18" operator="equal">
      <formula>"Probably High"</formula>
    </cfRule>
    <cfRule type="cellIs" dxfId="17" priority="19" operator="equal">
      <formula>"Probably Low"</formula>
    </cfRule>
    <cfRule type="cellIs" dxfId="16" priority="20" operator="equal">
      <formula>"Definitely Low"</formula>
    </cfRule>
  </conditionalFormatting>
  <conditionalFormatting sqref="AD113">
    <cfRule type="cellIs" dxfId="15" priority="13" operator="equal">
      <formula>"Definitely High"</formula>
    </cfRule>
    <cfRule type="cellIs" dxfId="14" priority="14" operator="equal">
      <formula>"Probably High"</formula>
    </cfRule>
    <cfRule type="cellIs" dxfId="13" priority="15" operator="equal">
      <formula>"Probably Low"</formula>
    </cfRule>
    <cfRule type="cellIs" dxfId="12" priority="16" operator="equal">
      <formula>"Definitely Low"</formula>
    </cfRule>
  </conditionalFormatting>
  <conditionalFormatting sqref="AD81">
    <cfRule type="cellIs" dxfId="11" priority="9" operator="equal">
      <formula>"Definitely High"</formula>
    </cfRule>
    <cfRule type="cellIs" dxfId="10" priority="10" operator="equal">
      <formula>"Probably High"</formula>
    </cfRule>
    <cfRule type="cellIs" dxfId="9" priority="11" operator="equal">
      <formula>"Probably Low"</formula>
    </cfRule>
    <cfRule type="cellIs" dxfId="8" priority="12" operator="equal">
      <formula>"Definitely Low"</formula>
    </cfRule>
  </conditionalFormatting>
  <conditionalFormatting sqref="AD209:AD210">
    <cfRule type="cellIs" dxfId="7" priority="5" operator="equal">
      <formula>"Definitely High"</formula>
    </cfRule>
    <cfRule type="cellIs" dxfId="6" priority="6" operator="equal">
      <formula>"Probably High"</formula>
    </cfRule>
    <cfRule type="cellIs" dxfId="5" priority="7" operator="equal">
      <formula>"Probably Low"</formula>
    </cfRule>
    <cfRule type="cellIs" dxfId="4" priority="8" operator="equal">
      <formula>"Definitely Low"</formula>
    </cfRule>
  </conditionalFormatting>
  <conditionalFormatting sqref="AD114">
    <cfRule type="cellIs" dxfId="3" priority="1" operator="equal">
      <formula>"Definitely High"</formula>
    </cfRule>
    <cfRule type="cellIs" dxfId="2" priority="2" operator="equal">
      <formula>"Probably High"</formula>
    </cfRule>
    <cfRule type="cellIs" dxfId="1" priority="3" operator="equal">
      <formula>"Probably Low"</formula>
    </cfRule>
    <cfRule type="cellIs" dxfId="0" priority="4" operator="equal">
      <formula>"Definitely Low"</formula>
    </cfRule>
  </conditionalFormatting>
  <dataValidations count="2">
    <dataValidation type="list" allowBlank="1" showInputMessage="1" showErrorMessage="1" sqref="D9 M53:M99 C53:C99 Q53:Q99 I53:I99 F53:F99 C106 K109:K115 F106 F117 I106 I109:I115 M106 K106 C29:C51 Q109:Q115 Q106 F109 C117 F120 C120 I117 I120 M117 M120 Q117 Q120 C129 C131 F129 F131 I129 I131 M129 M131 Q129 Q131 C139 F139 C142 F142 I139 K139 I142 K142 M139 Q139 M142 Q142 C149 F149 C152 F152 I149 M149 I152 M152 Q149 Q152 C174 F174 I174 M174 Q174 C185 C188 F185 F188 I185 I188 M185 M188 Q185 Q188 C203 C206 F203 F206 I203 I206 M203 Q203 M206 Q206 C212 C214 F212 F214 I212 I214 Q212 M212 Q214 M214 C5:C27 I5:I27 F5:F27 M5:M27 Q5:Q27 F29:F51 Q29:Q51 M29:M51 I29:I51 C109:C115 M109:M115" xr:uid="{29D7287D-C56E-4B0B-B0FE-5EB2C84AA1BB}">
      <formula1>"Definitely Yes,Probably Yes,Probably No,Definitely No"</formula1>
    </dataValidation>
    <dataValidation type="list" allowBlank="1" showInputMessage="1" showErrorMessage="1" sqref="D5:D8 AD10:AD26 D53:D99 K53:K99 O53:O99 G53:G99 AD50:AD58 D106 AD110:AD114 G106 G117 O106 G109 S106 O109:O115 AD106 D117 G120 D120 K117 K120 O117 O120 S117 S120 AD117 AD121:AD126 D129 D131 G129 G131 K129 K131 O129 O131 S129 S131 AD129 AD132:AD136 D139 G139 D142 G142 O139 S139 O142 S142 AD140:AD141 AD143:AD146 D149 G149 D152 G152 K149 K152 O149 O152 S149 S152 AD150:AD151 AD153:AD159 AD163:AD164 D174 G174 K174 O174 S174 AD175 AD179:AD182 D185 D188 G185 G188 K185 K188 O185 O188 S185 S188 AD185 AD194 AD189:AD191 AD198:AD200 D203 D206 G203 G206 K203 K206 O203 O206 S203 S206 AD204:AD205 AD207:AD210 D212 D214 G212 G214 K212 K214 O212 S212 O214 S214 AD212 AD215:AD216 AD217 AD221:AD222 AD6:AD8 D10:D27 O5:O27 K5:K27 G5:G27 S5:S27 AD28:AD33 S29:S99 O29:O51 D29:D51 G29:G51 K29:K51 AD35:AD48 D109:D115 S109:S115 AD60:AD103" xr:uid="{CFA8FAB0-33D1-46EC-9BD8-A4A06DE54612}">
      <formula1>"Definitely Low,Probably Low,Probably High,Definitely High"</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Core 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wangying</dc:creator>
  <cp:lastModifiedBy>Onyeka Obuaya</cp:lastModifiedBy>
  <dcterms:created xsi:type="dcterms:W3CDTF">2015-06-05T18:17:20Z</dcterms:created>
  <dcterms:modified xsi:type="dcterms:W3CDTF">2025-08-05T15:58:07Z</dcterms:modified>
</cp:coreProperties>
</file>