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ies" sheetId="1" r:id="rId4"/>
    <sheet state="visible" name="Interventions" sheetId="2" r:id="rId5"/>
    <sheet state="visible" name="DosingSchedule" sheetId="3" r:id="rId6"/>
    <sheet state="visible" name="Demographics" sheetId="4" r:id="rId7"/>
    <sheet state="visible" name="ADAS_Cog Baseline Patient Final" sheetId="5" r:id="rId8"/>
    <sheet state="visible" name="MMSE Baseline Patient Final Out" sheetId="6" r:id="rId9"/>
    <sheet state="visible" name="Follow Up ADAS-COG Outcomes" sheetId="7" r:id="rId10"/>
    <sheet state="visible" name="Follow Up MMSE Outcomes" sheetId="8" r:id="rId11"/>
    <sheet state="visible" name="PET" sheetId="9" r:id="rId12"/>
    <sheet state="visible" name="vMRI" sheetId="10" r:id="rId13"/>
    <sheet state="visible" name="CSF AB40" sheetId="11" r:id="rId14"/>
    <sheet state="visible" name="CSF AB42" sheetId="12" r:id="rId15"/>
    <sheet state="visible" name="CSF pTau181" sheetId="13" r:id="rId16"/>
    <sheet state="visible" name="plasma AB40" sheetId="14" r:id="rId17"/>
    <sheet state="visible" name="plasma AB42" sheetId="15" r:id="rId18"/>
    <sheet state="visible" name="plasma pTau181" sheetId="16" r:id="rId19"/>
    <sheet state="visible" name="safety" sheetId="17" r:id="rId20"/>
    <sheet state="visible" name="statistical models"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Might be a useless column as the year is the first thing in the study ID
	-Onyeka Obuaya
----
Need to see if I can get SUVR or centiloids
	-Onyeka Obuaya</t>
      </text>
    </comment>
    <comment authorId="0" ref="A1">
      <text>
        <t xml:space="preserve">LD = low dose
	-Onyeka Obuaya
----
median
	-Onyeka Obuaya
----
The sum of N=58 for GRADUATE I and N=56 for GRADUATE II Placebo in Table 1
	-Onyeka Obuaya
----
amyloid positive status
	-Onyeka Obuaya
----
amyloid negative status
	-Onyeka Obuaya
----
centimetres cubed
	-Onyeka Obuaya</t>
      </text>
    </comment>
    <comment authorId="0" ref="G1">
      <text>
        <t xml:space="preserve">They're all the same design so do I even need this column?
	-Onyeka Obuaya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How was the baseline established?
	-Onyeka Obuaya</t>
      </text>
    </comment>
    <comment authorId="0" ref="J1">
      <text>
        <t xml:space="preserve">By MMSE or ADAS-Cog? Need to decide by the one which is common between them all
	-Onyeka Obuaya</t>
      </text>
    </comment>
  </commentList>
</comments>
</file>

<file path=xl/sharedStrings.xml><?xml version="1.0" encoding="utf-8"?>
<sst xmlns="http://schemas.openxmlformats.org/spreadsheetml/2006/main" count="4462" uniqueCount="475">
  <si>
    <t>study_id</t>
  </si>
  <si>
    <t>trial_name</t>
  </si>
  <si>
    <t>arm_label</t>
  </si>
  <si>
    <t>author</t>
  </si>
  <si>
    <t xml:space="preserve">country </t>
  </si>
  <si>
    <t>multisite or single site</t>
  </si>
  <si>
    <t>sample_size</t>
  </si>
  <si>
    <t>completed_sample size</t>
  </si>
  <si>
    <t>follow up duration_wks</t>
  </si>
  <si>
    <t>discontinued?</t>
  </si>
  <si>
    <t>2023_Bat_Gan_01</t>
  </si>
  <si>
    <t>GRADUATE I</t>
  </si>
  <si>
    <t>INT</t>
  </si>
  <si>
    <t>R.J. Bateman, J. Smith, M.C. Donohue, P. Delmar, R. Abbas, S. Salloway, J. Wojtowicz, K. Blennow, T. Bittner, S.E. Black, G. Klein, M. Boada, T. Grimmer, A. Tamaoka, R.J. Perry, R.S. Turner, D. Watson, M. Woodward, A. Thanasopoulou, C. Lane, M. Baudler, N.C. Fox, J.L. Cummings, P. Fontoura, and R.S. Doody, for the GRADUATE I and II Investigators and the Gantenerumab Study Group</t>
  </si>
  <si>
    <t xml:space="preserve">United Kingdom </t>
  </si>
  <si>
    <t>multisite</t>
  </si>
  <si>
    <t>no</t>
  </si>
  <si>
    <t>2023_Bat_Gan_02</t>
  </si>
  <si>
    <t>PLA</t>
  </si>
  <si>
    <t>2023_Bat_Gan_03</t>
  </si>
  <si>
    <t>GRADUATE II</t>
  </si>
  <si>
    <t>2023_Bat_Gan_04</t>
  </si>
  <si>
    <t>2022_Bud_Adu_01</t>
  </si>
  <si>
    <t>EMERGE</t>
  </si>
  <si>
    <t>LD_ApoE4+</t>
  </si>
  <si>
    <t xml:space="preserve">Samantha Budd Haeberlein, P.S. Aisen, F. Barkhof, S. Chalkias, T. Chen, S. Cohen, G. Dent, O. Hansson, K. Harrison, C. von Hehn, T. Iwatsubo, C. Mallinckrodt, C.J. Mummery, K.K. Muralidharan, I. Nestorov, L. Nisenbaum, R. Rajagovindan, L. Skordos, Y. Tian, C.H. van Dyck, A. Sandrock </t>
  </si>
  <si>
    <t>United States of America</t>
  </si>
  <si>
    <t>yes</t>
  </si>
  <si>
    <t>2022_Bud_Adu_02</t>
  </si>
  <si>
    <t>LD_ApoE4-</t>
  </si>
  <si>
    <t>2022_Bud_Adu_03</t>
  </si>
  <si>
    <t>HD_ApoE4+</t>
  </si>
  <si>
    <t>2022_Bud_Adu_04</t>
  </si>
  <si>
    <t>HD_ApoE4-</t>
  </si>
  <si>
    <t>2022_Bud_Adu_05</t>
  </si>
  <si>
    <t>2022_Bud_Adu_06</t>
  </si>
  <si>
    <t>ENGAGE</t>
  </si>
  <si>
    <t>2022_Bud_Adu_07</t>
  </si>
  <si>
    <t>2022_Bud_Adu_08</t>
  </si>
  <si>
    <t>2022_Bud_Adu_09</t>
  </si>
  <si>
    <t>2022_Bud_Adu_10</t>
  </si>
  <si>
    <t>2014_Doo_Sol_01</t>
  </si>
  <si>
    <t>EXPEDITION 1</t>
  </si>
  <si>
    <t>Rachelle S. Doody, M.D., Ph.D., Ronald G. Thomas, Ph.D., Martin Farlow, M.D., Takeshi Iwatsubo, M.D., Ph.D., Bruno Vellas, M.D., Steven Joffe, M.D., M.P.H., Karl Kieburtz, M.D., M.P.H., Rema Raman, Ph.D., Xiaoying Sun, M.S., and Paul S. Aisen, M.D., for the Alzheimer’s Disease Cooperative Study Steering Committee; and Eric Siemers, M.D., Hong Liu-Seifert, Ph.D., and Richard Mohs, Ph.D., for the Solanezumab Study Group</t>
  </si>
  <si>
    <t>2014_Doo_Sol_02</t>
  </si>
  <si>
    <t>2014_Doo_Sol_03</t>
  </si>
  <si>
    <t>EXPEDITION 2</t>
  </si>
  <si>
    <t>2014_Doo_Sol_04</t>
  </si>
  <si>
    <t>2023_van_Lec_01</t>
  </si>
  <si>
    <t>CLARITY AD</t>
  </si>
  <si>
    <t>C.H. van Dyck, C.J. Swanson, P. Aisen, R.J. Bateman, C. Chen, M. Gee, M. Kanekiyo, D. Li, L. Reyderman, S. Cohen, L. Froelich, S. Katayama, M. Sabbagh, B. Vellas, D. Watson, S. Dhadda, M. Irizarry, L.D. Kramer, and T. Iwatsubo</t>
  </si>
  <si>
    <t>2023_van_Lec_02</t>
  </si>
  <si>
    <t>2018_Hon_Sol_01</t>
  </si>
  <si>
    <t>EXPEDITION 3</t>
  </si>
  <si>
    <t>Lawrence S. Honig, M.D., Ph.D., Bruno Vellas, M.D., Michael Woodward, M.D., Mercè Boada, M.D., Ph.D., Roger Bullock, M.D., Michael Borrie, M.B., Ch.B., Klaus Hager, M.D., Niels Andreasen, M.D., Ph.D., Elio Scarpini, M.D., Hong Liu-Seifert, Ph.D., Michael Case, M.S., Robert A. Dean, M.D., Ph.D., Ann Hake, M.D., Karen Sundell, B.S., Vicki Poole Hoffmann, Pharm.D., Christopher Carlson, Ph.D., Rashna Khanna, M.D., Mark Mintun, M.D., Ronald DeMattos, Ph.D., Katherine J. Selzler, Ph.D., and Eric Siemers, M.D.</t>
  </si>
  <si>
    <t>2018_Hon_Sol_02</t>
  </si>
  <si>
    <t>2022_Ost_Cre_01</t>
  </si>
  <si>
    <t>CREAD</t>
  </si>
  <si>
    <t>Susanne Ostrowitzki, MD; Tobias Bittner, PhD; Kaycee M. Sink, MD; Howard Mackey, PhD; Christina Rabe, PhD; Lawrence S. Honig, MD, PhD; Emanuele Cassetta, MD; Michael Woodward, MD; Mercè Boada, MD; Christopher H. van Dyck, MD; Timo Grimmer, MD; Dennis J. Selkoe, MD; Andres Schneider, MD; Kathleen Blondeau, PhD; Nan Hu, PhD; Angelica Quartino, PhD; David Clayton, PhD; Michael Dolton, PhD; Yifan Dang, MS; Beth Ostaszewski, BS; Sandra M. Sanabria-Bohórquez, PhD; Michael Rabbia, MA; Balazs Toth, MS; Udo Eichenlaub, PhD; Jillian Smith, BSc; Lee A. Honigberg, PhD; Rachelle S. Doody, MD, PhD</t>
  </si>
  <si>
    <t>Switzerland</t>
  </si>
  <si>
    <t>2022_Ost_Cre_02</t>
  </si>
  <si>
    <t>2022_Ost_Cre_03</t>
  </si>
  <si>
    <t>CREAD 2</t>
  </si>
  <si>
    <t>2022_Ost_Cre_04</t>
  </si>
  <si>
    <t>2017_Ost_Gan_01</t>
  </si>
  <si>
    <t>SCarlet RoAD</t>
  </si>
  <si>
    <t>LD_INT</t>
  </si>
  <si>
    <t>Susanne Ostrowitzki, Robert A. Lasser, Ernest Dorflinger, Philip Scheltens, Frederik Barkhof, Tania Nikolcheva, Elizabeth Ashford, Sylvie Retout, Carsten Hofmann, Paul Delmar, Gregory Klein, Mirjana Andjelkovic, Bruno Dubois, Mercè Boada, Kaj Blennow, Luca Santarelli, Paulo Fontoura and for the SCarlet RoAD Investigators</t>
  </si>
  <si>
    <t>2017_Ost_Gan_02</t>
  </si>
  <si>
    <t>HD_INT</t>
  </si>
  <si>
    <t>2017_Ost_Gan_03</t>
  </si>
  <si>
    <t>2014_Sal_Bap_01</t>
  </si>
  <si>
    <t>INT_ApoE4+</t>
  </si>
  <si>
    <t>Stephen Salloway, M.D., Reisa Sperling, M.D., Nick C. Fox, M.D., Kaj Blennow, M.D., William Klunk, M.D., Murray Raskind, M.D., Marwan Sabbagh, M.D., Lawrence S. Honig, M.D., Ph.D., Anton P. Porsteinsson, M.D., Steven Ferris, Ph.D., Marcel Reichert, M.D., Nzeera Ketter, M.D., Bijan Nejadnik, M.D., Volkmar Guenzler, M.D., Maja Miloslavsky, Ph.D., Daniel Wang, Ph.D., Yuan Lu, M.S., Julia Lull, M.A., Iulia Cristina Tudor, Ph.D., Enchi Liu, Ph.D., Michael Grundman, M.D., M.P.H., Eric Yuen, M.D., Ronald Black, M.D., and H. Robert Brashear, M.D., for the Bapineuzumab 301 and 302 Clinical Trial Investigators*</t>
  </si>
  <si>
    <t>2014_Sal_Bap_02</t>
  </si>
  <si>
    <t>PLA_ApoE4+</t>
  </si>
  <si>
    <t>2014_Sal_Bap_03</t>
  </si>
  <si>
    <t>2014_Sal_Bap_04</t>
  </si>
  <si>
    <t>2014_Sal_Bap_05</t>
  </si>
  <si>
    <t>2023_Sim_Don_01</t>
  </si>
  <si>
    <t>TRAILBLAZER-ALZ 2</t>
  </si>
  <si>
    <t>John R. Sims, MD; Jennifer A. Zimmer, MD; Cynthia D. Evans, PhD; Ming Lu, MD, MS, MPH; Paul Ardayfio, PhD; JonDavid Sparks, PhD; Alette M. Wessels, PhD; Sergey Shcherbinin, PhD; Hong Wang, PhD; Emel Serap Monkul Nery, MD; Emily C. Collins, PhD; Paul Solomon, PhD; Stephen Salloway, MD; Liana G. Apostolova, MD; Oskar Hansson, MD, PhD; Craig Ritchie, MD, PhD; Dawn A. Brooks, PhD; Mark Mintun, MD; Daniel M. Skovronsky, MD, PhD; for the TRAILBLAZER-ALZ 2 Investigators</t>
  </si>
  <si>
    <t>2023_Sim_Don_02</t>
  </si>
  <si>
    <t>2016_Van_Bap_01</t>
  </si>
  <si>
    <t>Rik Vandenberghe, Juha O. Rinne, Mercè Boada, Sadao Katayama, Philip Scheltens, Bruno Vellas, Michael Tuchman, Achim Gass, Jochen B. Fiebach, Derek Hill, Kasia Lobello, David Li, Tom McRae, Prisca Lucas, Iona Evans, Kevin Booth, Gerald Luscan, Bradley T. Wyman, Lisa Hua, Lingfeng Yang, H. Robert Brashear &amp; Ronald S. Black for the Bapineuzumab 3000 and 3001 Clinical Study Investigators</t>
  </si>
  <si>
    <t>2016_Van_Bap_02</t>
  </si>
  <si>
    <t>2016_Van_Bap_03</t>
  </si>
  <si>
    <t>2016_Van_Bap_04</t>
  </si>
  <si>
    <t>2016_Van_Bap_05</t>
  </si>
  <si>
    <t>PLA_ApoE4-</t>
  </si>
  <si>
    <t>drug_name</t>
  </si>
  <si>
    <t>schedule_ref</t>
  </si>
  <si>
    <t>target_dose</t>
  </si>
  <si>
    <t>target_dose_unit</t>
  </si>
  <si>
    <t>target_interval_wks</t>
  </si>
  <si>
    <t>ApoE4_status</t>
  </si>
  <si>
    <t>mec_of_action</t>
  </si>
  <si>
    <t>gantenerumab</t>
  </si>
  <si>
    <t>DosingSchedule</t>
  </si>
  <si>
    <t>mg</t>
  </si>
  <si>
    <t>mix</t>
  </si>
  <si>
    <t>placebo</t>
  </si>
  <si>
    <t>aducanumab</t>
  </si>
  <si>
    <t>mg/kg</t>
  </si>
  <si>
    <t>positive</t>
  </si>
  <si>
    <t>negative</t>
  </si>
  <si>
    <t>solanezumab</t>
  </si>
  <si>
    <t>lecanemab</t>
  </si>
  <si>
    <t>crenezumab</t>
  </si>
  <si>
    <t>bapineuzumab</t>
  </si>
  <si>
    <t>donanemab</t>
  </si>
  <si>
    <t>positve</t>
  </si>
  <si>
    <t>dose</t>
  </si>
  <si>
    <t>timepoints_wks</t>
  </si>
  <si>
    <t>interval_wks</t>
  </si>
  <si>
    <t>Notes</t>
  </si>
  <si>
    <t>3 doses @ 120 mg every 4 weeks</t>
  </si>
  <si>
    <t>3 doses @ 255 mg every 4 weeks</t>
  </si>
  <si>
    <t>3 doses @ 510 mg every 4 weeks</t>
  </si>
  <si>
    <t>510mg every 2 weeks until final</t>
  </si>
  <si>
    <t>Titration to target dose: 1 dose of 1 mg/kg every 4 weeks</t>
  </si>
  <si>
    <t>Titration to target dose: 1 dose of 1mg/kg every 4 weeks</t>
  </si>
  <si>
    <t>Target dose: 1 dose of 3 mg/kg every 4 weeks to final</t>
  </si>
  <si>
    <t>Titration to target dose: 1 dose of 3 mg/kg every 4 weeks</t>
  </si>
  <si>
    <t>Target dose: 6 mg/kg every 4 weeks until final</t>
  </si>
  <si>
    <t>Titration to target dose:1 dose of 3 mg/kg every 4 weeks</t>
  </si>
  <si>
    <t>Titration to target dose: 1 dose of 6 mg/kg every 4 weeks</t>
  </si>
  <si>
    <t>Titration to target dose:1 dose of 6 mg/kg every 4 weeks</t>
  </si>
  <si>
    <t>Target dose: 1 dose of 10mg/kg every 4 weeks until final</t>
  </si>
  <si>
    <t>Target dose: 1 dose of 10mg/kg every 4 weeks to final</t>
  </si>
  <si>
    <t>Target dose: 1 dose of 3 mg/kg every 4 weeks until final</t>
  </si>
  <si>
    <t>Intravenous infusion ~70ml over a period of 30 minutes every 4 weeks for 18 months</t>
  </si>
  <si>
    <t>Intravenous lecanemab of 10 mg/kg of body weight every 2 weeks until final</t>
  </si>
  <si>
    <t>Intravenous infusion every 4 weeks for 76 weeks</t>
  </si>
  <si>
    <t>Intravenous infusion of 60 mg/kg crenezumab every 4 weeks for up to 100 weeks</t>
  </si>
  <si>
    <t>Subcutaneous administration in the abdomen of 105 mg of gantenerumab every 4 weeks until final</t>
  </si>
  <si>
    <t>Subcutaneous administration in the abdomen of 225 mg of gantenerumab every 4 weeks until final</t>
  </si>
  <si>
    <t>0.5 mg of bapineuzumab per kilogram every 13 weeks for 78 weeks</t>
  </si>
  <si>
    <t xml:space="preserve">Intravenous administration of 700 mg of donanemab for the first three doses </t>
  </si>
  <si>
    <t>Intravenous administration of 1400 mg of donanemab for up to 72 weeks. If amyloid plaque level (assessed at 24 weeks and 52 weeks) was less than 11 centiloids on any single PET scan/less than 25 but greater than/equal to 11 Centiloids on 2 consecutive PET scans, donanemab was switched to placebo in a blinded procedure.</t>
  </si>
  <si>
    <t>1 mg of bapineuzumab per kilogram every 13 weeks for 78 weeks</t>
  </si>
  <si>
    <t>2016_Van_Bap_06</t>
  </si>
  <si>
    <t xml:space="preserve">age </t>
  </si>
  <si>
    <t>sd</t>
  </si>
  <si>
    <t>female</t>
  </si>
  <si>
    <t>male</t>
  </si>
  <si>
    <t>ongoing AD treatment use at baseline (%)</t>
  </si>
  <si>
    <t>baseline_clinical stage_MCI</t>
  </si>
  <si>
    <t>no ε4 allele</t>
  </si>
  <si>
    <t>one or two ε4 allele</t>
  </si>
  <si>
    <t>unknown ε4 status</t>
  </si>
  <si>
    <t>n</t>
  </si>
  <si>
    <t>POOLED LD</t>
  </si>
  <si>
    <t>POOLED HD</t>
  </si>
  <si>
    <t>low/medium tau population</t>
  </si>
  <si>
    <t>dose_group_ID</t>
  </si>
  <si>
    <t>version</t>
  </si>
  <si>
    <t>mean</t>
  </si>
  <si>
    <t>N</t>
  </si>
  <si>
    <t>notes</t>
  </si>
  <si>
    <t>2022_Bud_Adu_LD</t>
  </si>
  <si>
    <t>2022_Bud_Adu_HD</t>
  </si>
  <si>
    <t>2014_Doo_Sol_MA</t>
  </si>
  <si>
    <t>High tau population. Tau PET SUVr &gt;1.46</t>
  </si>
  <si>
    <t>Study ID</t>
  </si>
  <si>
    <t>outcome</t>
  </si>
  <si>
    <t>mmse</t>
  </si>
  <si>
    <t>Low/medium tau population. Tau PET SUVr &lt;1.46</t>
  </si>
  <si>
    <t>study_ID</t>
  </si>
  <si>
    <t>time_wks</t>
  </si>
  <si>
    <t>estimate</t>
  </si>
  <si>
    <t>metric_type</t>
  </si>
  <si>
    <t>se_or_ci</t>
  </si>
  <si>
    <t>adjusted_mean (ANCOVA)</t>
  </si>
  <si>
    <t>MMRM MMC</t>
  </si>
  <si>
    <t>N/A</t>
  </si>
  <si>
    <t>MMRM LSM</t>
  </si>
  <si>
    <t>95 % CI [2.5, 5]</t>
  </si>
  <si>
    <t>Mild to moderate patients</t>
  </si>
  <si>
    <t>95 % CI [3.3, 5.8]</t>
  </si>
  <si>
    <t>95 % CI [1.9, 4.9]</t>
  </si>
  <si>
    <t>Mild AD subgroup</t>
  </si>
  <si>
    <t>95 % CI [3.4, 6.7]</t>
  </si>
  <si>
    <t>adjusted LSM change MMRM</t>
  </si>
  <si>
    <t>MMRM difference in mean change</t>
  </si>
  <si>
    <t>95 % CI [8.16, 11.47]</t>
  </si>
  <si>
    <t>95 % CI [7.94, 11.17]</t>
  </si>
  <si>
    <t>95 % CI [3.91, 6.38]</t>
  </si>
  <si>
    <t>95 % CI [4.21, 6.87]</t>
  </si>
  <si>
    <t>95 % CI [4.54, 6.99]</t>
  </si>
  <si>
    <t>score at follow up</t>
  </si>
  <si>
    <t>95 % CI [-2.2, -0.6]</t>
  </si>
  <si>
    <t>95 % CI [-2.8, -1.2]</t>
  </si>
  <si>
    <t>95 % CI [-5.72, -4.21]</t>
  </si>
  <si>
    <t>95 % CI [-5.37, -3.89]</t>
  </si>
  <si>
    <t>95 % CI [0.93, 2.86]</t>
  </si>
  <si>
    <t>Mean Change from Baseline" values in eTable 1 for CREAD2 MMSE are positive. That's weird. An explanation was not given</t>
  </si>
  <si>
    <t>95 % CI [2.31, 4.08]</t>
  </si>
  <si>
    <t>95 % CI [-3.6, -2.44]</t>
  </si>
  <si>
    <t>95 % CI [-3.33, -2.14]</t>
  </si>
  <si>
    <t>95 % CI [-3.5, -2.35]</t>
  </si>
  <si>
    <t>dose_group_id</t>
  </si>
  <si>
    <t>arm</t>
  </si>
  <si>
    <t>pet_measure</t>
  </si>
  <si>
    <t>baseline</t>
  </si>
  <si>
    <t>AB SUVR</t>
  </si>
  <si>
    <t>% with SUVR≤1.10</t>
  </si>
  <si>
    <t>POOLED EMERGE and ENGAGE</t>
  </si>
  <si>
    <t>tau SUVR</t>
  </si>
  <si>
    <t>ANCOVA</t>
  </si>
  <si>
    <t>Pooled INT and PLA</t>
  </si>
  <si>
    <t>change from baseline</t>
  </si>
  <si>
    <t>95 % CI [-0.015, 0.1]</t>
  </si>
  <si>
    <t>95 % CI [-0.009, 0.018]</t>
  </si>
  <si>
    <t>95 % CI [-0.037, 0.02]</t>
  </si>
  <si>
    <t>95 % CI [-0.02, 0.036]</t>
  </si>
  <si>
    <t>95 % CI [-0.006, 0.026]</t>
  </si>
  <si>
    <t>Composite cortical region of interest using a subcortical white matter reference region</t>
  </si>
  <si>
    <t>95 % CI [0.005, 0.037]</t>
  </si>
  <si>
    <t>95 % CI [-0.046, 0.052]</t>
  </si>
  <si>
    <t>95 % CI [-0.01, 0.059]</t>
  </si>
  <si>
    <t>MMRM</t>
  </si>
  <si>
    <t>PIB-PET GCA SUVR is a measure of brain amyloid burden, where a negative change from baseline indicates a reduction in fibrillar amyloid burden. LS mean change</t>
  </si>
  <si>
    <t>POOLED LD_ and HD_INT</t>
  </si>
  <si>
    <t>POOLED carrier INT and PLA</t>
  </si>
  <si>
    <t>POOLED LD_ and HDApoE4-</t>
  </si>
  <si>
    <t>POOLED non-carrier INT and PLA</t>
  </si>
  <si>
    <t>AB centiloids</t>
  </si>
  <si>
    <t>mean amyloid level</t>
  </si>
  <si>
    <t>POOLED GRADUATE I and II</t>
  </si>
  <si>
    <t>POOLED GRADUATE I and GRADUATE II lateral Temporal composite baseline. ROI: Temporal Composite Region</t>
  </si>
  <si>
    <t>POOLED GRADUATE I and GRADUATE II baseline ROI: Medial Temporal Composite Region [not including the Hippocampus]</t>
  </si>
  <si>
    <t>ROI: Frontal Lobe</t>
  </si>
  <si>
    <t>ROI: Parietal Lobe</t>
  </si>
  <si>
    <t>POOLED GRADUATE I and GRADUATE II baselines ROI: Medial Temporal Composite Region [not including the Hippocampus]</t>
  </si>
  <si>
    <t>95 % CI [-90.20, -85.87]</t>
  </si>
  <si>
    <t>The low/medium tau pathology population</t>
  </si>
  <si>
    <t>95 % CI [-1.91, 2.26]</t>
  </si>
  <si>
    <t>LSM ANCOVA</t>
  </si>
  <si>
    <t>Combined tau population. Low/medium tau population had a baseline tau SUVR of 1.10&lt;=SUVR&lt;=1.46</t>
  </si>
  <si>
    <t xml:space="preserve">Brain amyloid burden as imaged by 11C-Pittsburgh compound B (PiB) positron emission tomography (PET). </t>
  </si>
  <si>
    <t>dose_group</t>
  </si>
  <si>
    <t>unit</t>
  </si>
  <si>
    <t>cm3</t>
  </si>
  <si>
    <t>POOLED EXPEDITION 1 and 2</t>
  </si>
  <si>
    <t>Volumetric magnetic resonance imaging findings for the mild AD study population</t>
  </si>
  <si>
    <t>Whole brain atrophy analysis used an ANCOVA model to compare changes</t>
  </si>
  <si>
    <t>ml/yr</t>
  </si>
  <si>
    <t>Brain boundary shift integral method (BBSI)</t>
  </si>
  <si>
    <t>Percentage Change in Whole Brain Volum</t>
  </si>
  <si>
    <t>Bilateral whole brain</t>
  </si>
  <si>
    <t>Brain volume was examined in a subset of participants by Magnetic Resonance Imaging Brain Boundary Shift Integral (MRI BBSI)</t>
  </si>
  <si>
    <t>ml/year</t>
  </si>
  <si>
    <t>POOLED INT GRADUATE 1 and 2</t>
  </si>
  <si>
    <t>pg/mL</t>
  </si>
  <si>
    <t>adjusted mean change from baseline MMRM</t>
  </si>
  <si>
    <t>POOLED PLA GRADUATE 1 and 2</t>
  </si>
  <si>
    <t>mean change from baseline</t>
  </si>
  <si>
    <t>95 % CI [463.7, 934]</t>
  </si>
  <si>
    <t>95 % CI [-91.2, 37.4]</t>
  </si>
  <si>
    <t>95 % CI [478.4, 849]</t>
  </si>
  <si>
    <t>95 % CI [-134.7, 36.1]</t>
  </si>
  <si>
    <t>95 % CI [5889.7, 8683.28]</t>
  </si>
  <si>
    <t>n at baseline</t>
  </si>
  <si>
    <t>95 % CI [-743.53, 1895.89]</t>
  </si>
  <si>
    <t>95 % CI [-1166.5, 1886.51]</t>
  </si>
  <si>
    <t>95 % CI [4439.19, 7599.07]</t>
  </si>
  <si>
    <t>95 % CI [-1579.7, 1381.32]</t>
  </si>
  <si>
    <t>se_or_ci_or_iqr</t>
  </si>
  <si>
    <t>POOLED INT GRADUATE I and II</t>
  </si>
  <si>
    <t>POOLED PLA GRADUATE I and II</t>
  </si>
  <si>
    <t>95 % CI [489.4, 963.9]</t>
  </si>
  <si>
    <t>95 % CI [86.2, 561.5]</t>
  </si>
  <si>
    <t>adjusted mean change MMRM</t>
  </si>
  <si>
    <t>CSF free Aβ1-42.  The dependent variable for each CSF parameter was its change from baseline to endpoint. LS Mean value was controlled for baseline value, baseline age, pooled investigator, treatment and visit.</t>
  </si>
  <si>
    <t>n is 56 at 53 weeks follow up</t>
  </si>
  <si>
    <t>n is 59 at 53 weeks follow up</t>
  </si>
  <si>
    <t>n is 33 at 53 weeks follow up</t>
  </si>
  <si>
    <t>n is 26 at 53 weeks follow up</t>
  </si>
  <si>
    <t>POOLED INT CREAD and CREAD 2</t>
  </si>
  <si>
    <t>95 % CI [295.34, 411.85]</t>
  </si>
  <si>
    <t>n is 17 at 105 weeks follow up</t>
  </si>
  <si>
    <t>POOLED PLA CREAD and CREAD 2</t>
  </si>
  <si>
    <t>95 % CI [-21.3, 91.58]</t>
  </si>
  <si>
    <t>n is 23 at 105 weeks follow up</t>
  </si>
  <si>
    <t>95 % CI [222.64, 366.17]</t>
  </si>
  <si>
    <t>95 % CI [-51.15, 83.46]</t>
  </si>
  <si>
    <t>non-parametric Wilcoxon test</t>
  </si>
  <si>
    <t>IQR[Q1 -19.33, Q2 25.88]</t>
  </si>
  <si>
    <t>Median percentage change and IQR from baseline</t>
  </si>
  <si>
    <t>IQR[Q1 -13.96, Q2 35.09]</t>
  </si>
  <si>
    <t>IQR[Q1 -15.31, Q2 21.03]</t>
  </si>
  <si>
    <t>adjusted % change</t>
  </si>
  <si>
    <t>95 % CI [-26.4, -20.2]</t>
  </si>
  <si>
    <t>95 % CI [-3.4, 4.8]</t>
  </si>
  <si>
    <t>2022_Bud_Adu_LD POOLED</t>
  </si>
  <si>
    <t>95 % CI [-4.1, 1.2]</t>
  </si>
  <si>
    <t>2022_Bud_Adu_HD POOLED</t>
  </si>
  <si>
    <t>95 % CI [-6.7, -1.5]</t>
  </si>
  <si>
    <t>95 % CI [-2.8, 2.3]</t>
  </si>
  <si>
    <t>95 % CI [-5.3, 0.4]</t>
  </si>
  <si>
    <t>95 % CI [-6.2, -0.4]</t>
  </si>
  <si>
    <t>95 % CI [-2.8, 2.4]</t>
  </si>
  <si>
    <t>95 % CI [-2.48, 1.22]</t>
  </si>
  <si>
    <t>95 % CI [-1.29, 2.21]</t>
  </si>
  <si>
    <t>95 % CI [-5.16, 2.15]</t>
  </si>
  <si>
    <t>95 % CI [-1.77, 6.41]</t>
  </si>
  <si>
    <t>95 % CI [-3.42, 0.86]</t>
  </si>
  <si>
    <t>95 % CI [-2.07, 2.07]</t>
  </si>
  <si>
    <t>nonparametric Wilcoxon test</t>
  </si>
  <si>
    <t>IQR[Q1 -26.87, Q2 -6.42]</t>
  </si>
  <si>
    <t xml:space="preserve">median % change from baseline.n was 71 at 104 weeks follow up </t>
  </si>
  <si>
    <t>IQR[Q1 -35.91, Q2 -14.47]</t>
  </si>
  <si>
    <t>median % change from baseline. n was 66 at 104 weels follow up</t>
  </si>
  <si>
    <t>IQR[Q1 -19.86, Q2 12.02]</t>
  </si>
  <si>
    <t>median % change from baseline. n was 72 at 104 weeks follow up</t>
  </si>
  <si>
    <t xml:space="preserve">LS mean </t>
  </si>
  <si>
    <t>n at w116 = 671</t>
  </si>
  <si>
    <t>n at w116 = 663</t>
  </si>
  <si>
    <t>ng/mL</t>
  </si>
  <si>
    <t>summarised using descriptive statistics</t>
  </si>
  <si>
    <t>unadjusted mean change from baseline</t>
  </si>
  <si>
    <t>n at w116  = 643</t>
  </si>
  <si>
    <t>n at w116 = 646</t>
  </si>
  <si>
    <t>n was 13 at 53 weeks follow up</t>
  </si>
  <si>
    <t>adjusted mean change from baseline</t>
  </si>
  <si>
    <t>sae_n</t>
  </si>
  <si>
    <t>sae_rate</t>
  </si>
  <si>
    <t>ariae_n</t>
  </si>
  <si>
    <t>ariae_%</t>
  </si>
  <si>
    <t>ariah_n</t>
  </si>
  <si>
    <t>ariah_%</t>
  </si>
  <si>
    <t>discon_n</t>
  </si>
  <si>
    <t>discont_rate</t>
  </si>
  <si>
    <t>median_t_events_wks</t>
  </si>
  <si>
    <t>247/993</t>
  </si>
  <si>
    <t>227/993</t>
  </si>
  <si>
    <t>26/946</t>
  </si>
  <si>
    <t>116/946</t>
  </si>
  <si>
    <t xml:space="preserve">POOLED LD </t>
  </si>
  <si>
    <t>140/537</t>
  </si>
  <si>
    <t>87/537</t>
  </si>
  <si>
    <t>29/499</t>
  </si>
  <si>
    <t>POOLED ALL INT doses</t>
  </si>
  <si>
    <t>188/541</t>
  </si>
  <si>
    <t>108/541</t>
  </si>
  <si>
    <t>13/544</t>
  </si>
  <si>
    <t>37/544</t>
  </si>
  <si>
    <t>7/485</t>
  </si>
  <si>
    <t>141/545</t>
  </si>
  <si>
    <t>89/545</t>
  </si>
  <si>
    <t>19/498</t>
  </si>
  <si>
    <t>199/554</t>
  </si>
  <si>
    <t>104/554</t>
  </si>
  <si>
    <t>16/532</t>
  </si>
  <si>
    <t>34/532</t>
  </si>
  <si>
    <t>5/477</t>
  </si>
  <si>
    <t>POOLED INT EXPEDITION 1 and 2</t>
  </si>
  <si>
    <t>33/506</t>
  </si>
  <si>
    <t>POOLED PLA EXPEDITION 1 and 2</t>
  </si>
  <si>
    <t>39/506</t>
  </si>
  <si>
    <t>39/521</t>
  </si>
  <si>
    <t>41/519</t>
  </si>
  <si>
    <t>48/1057</t>
  </si>
  <si>
    <t>39/1072</t>
  </si>
  <si>
    <t>1/399</t>
  </si>
  <si>
    <t>39/399</t>
  </si>
  <si>
    <t>1/397</t>
  </si>
  <si>
    <t>31/397</t>
  </si>
  <si>
    <t>1/398</t>
  </si>
  <si>
    <t>20/398</t>
  </si>
  <si>
    <t>23/388</t>
  </si>
  <si>
    <t>109/654</t>
  </si>
  <si>
    <t>6/654</t>
  </si>
  <si>
    <t>59/654</t>
  </si>
  <si>
    <t>9/439</t>
  </si>
  <si>
    <t>5/439</t>
  </si>
  <si>
    <t>32/439</t>
  </si>
  <si>
    <t>13/267</t>
  </si>
  <si>
    <t>2/267</t>
  </si>
  <si>
    <t>31/263</t>
  </si>
  <si>
    <t>1/263</t>
  </si>
  <si>
    <t>13/263</t>
  </si>
  <si>
    <t>2/344</t>
  </si>
  <si>
    <t>7/344</t>
  </si>
  <si>
    <t>19/344</t>
  </si>
  <si>
    <t>include_in_simulation</t>
  </si>
  <si>
    <t>model_type</t>
  </si>
  <si>
    <t>dependent_var</t>
  </si>
  <si>
    <t>fixed_effects</t>
  </si>
  <si>
    <t>random_effects</t>
  </si>
  <si>
    <t>covariance_structure</t>
  </si>
  <si>
    <t>visit_variable</t>
  </si>
  <si>
    <t>population</t>
  </si>
  <si>
    <t>power_target (%)</t>
  </si>
  <si>
    <t>effectsize_target</t>
  </si>
  <si>
    <t>powered_for_efficacy</t>
  </si>
  <si>
    <t>2023_Bat_Gan</t>
  </si>
  <si>
    <t>CDR-SB</t>
  </si>
  <si>
    <t>ANCOVA + MMRM</t>
  </si>
  <si>
    <t>treatment group; vist; treatment-by-vist interaction; baseline value; disease stage; geographic region (Western Europe and Australia vs. Rest of the World vs. North America); use of AD medication at baseline; APOE4 status</t>
  </si>
  <si>
    <t>participant</t>
  </si>
  <si>
    <t>unstructured</t>
  </si>
  <si>
    <t>visit_week</t>
  </si>
  <si>
    <t>ITT</t>
  </si>
  <si>
    <t>both</t>
  </si>
  <si>
    <t>30% relative reduction in CDR-SB deterioration</t>
  </si>
  <si>
    <t>The initial power target was 80 but was updated. 2-sided α level of 0.5</t>
  </si>
  <si>
    <t>ADAS</t>
  </si>
  <si>
    <t>baseline value; disease stage; geographic region (Western Europe and Australia vs. Rest of the World vs. North America); use of AD medication at baseline; APOE4 status</t>
  </si>
  <si>
    <t>ci</t>
  </si>
  <si>
    <t>ADCS-ADL</t>
  </si>
  <si>
    <t>FAQ</t>
  </si>
  <si>
    <t>csf biomarkers</t>
  </si>
  <si>
    <t>mITT</t>
  </si>
  <si>
    <t>AB PET</t>
  </si>
  <si>
    <t>vMRI</t>
  </si>
  <si>
    <t>plasma biomarkers</t>
  </si>
  <si>
    <t>tau PET</t>
  </si>
  <si>
    <t>se</t>
  </si>
  <si>
    <t>2022_Bud_Adu</t>
  </si>
  <si>
    <t>treament group; visit (categorical); treatment-by-vist interaction; baseline score-by-visit; baseline MMSE score (except for the MMSE model itself); AD symptomatic medication use at baseline (yes/no); region; APOE4 status</t>
  </si>
  <si>
    <t>A prespecified interim analysis for futility</t>
  </si>
  <si>
    <t>MMSE</t>
  </si>
  <si>
    <t>treatment groups (placebo, low dose and high dose); baseline SUVR value (continuous); laboratory ApoE ε4 status (carrier and noncarrier); adjusted means for each treatment group; pairwise adjusted differences with placebo; 95% confidence intervals for the differences; associated p-values will be presented at post-baseline timepoint.</t>
  </si>
  <si>
    <t>will need to digitise the data</t>
  </si>
  <si>
    <t>2014_Doo_Sol</t>
  </si>
  <si>
    <t>baseline scores on outcome measures; study-drug assignment; MMSE score at screening (mild or moderate); visit; treatment-by-visit interation; concomitant use of symptomatic AD medication (yes/no); age at baseline</t>
  </si>
  <si>
    <t>baseline biomarker levels;  treatment; age at baseline; study;  MMSE stratification factor; visit; treatment-by-visit interaction; concomitant medication use</t>
  </si>
  <si>
    <t>subgroup</t>
  </si>
  <si>
    <t>evidence of amyloid accumulation</t>
  </si>
  <si>
    <t>2023_van_Lec</t>
  </si>
  <si>
    <t>trial group; visit; trial group-by-visit interaction; clinical subgroup; use of symptomatic AD medication at baseline; APOE4 carrier status; geographic region; baseline value-by-visit interaction; baseline value as a covariate</t>
  </si>
  <si>
    <t>25% reduction in CDR-SB decline vs placebo</t>
  </si>
  <si>
    <t>2-sided α level of 0.5</t>
  </si>
  <si>
    <t>ADCOMS</t>
  </si>
  <si>
    <t>trial group; visit; trial group-by-visit interaction; clinical subgroup; use of symptomatic AD medication at baseline; APOE4 carrier status; geographic region; baseline value-by-visit interaction; baseline value as a covariate; study group-by-visit</t>
  </si>
  <si>
    <t>2018_Hon_Sol</t>
  </si>
  <si>
    <t>trial group; visit; treatment-by-visit interaction; baseline score; site; concomitant use of symptomatic AD drug (yes/no); age at baseline</t>
  </si>
  <si>
    <t>point estimates with confidence intervals but without significance testing</t>
  </si>
  <si>
    <t>baseline score; site; trial group; concomitant use of symptomatic AD drug (yes/no); age at baseline</t>
  </si>
  <si>
    <t>iADRS</t>
  </si>
  <si>
    <t>2022_Ost_Cre</t>
  </si>
  <si>
    <t>disease severity (prodromal v. mild AD); APOE4 status; geographic region; symptomatic AD therapy usage at baseline; baseline score of endpoint; treatment group; visit; treatment-by-visit interaction</t>
  </si>
  <si>
    <t>30% reduction in deterioration in CDR-SB scores</t>
  </si>
  <si>
    <t>2-sided sig level P &lt;.05</t>
  </si>
  <si>
    <t>disease severity (prodromal v. mild AD); APOE4 status; geographic region; symptomatic AD therapy usage at baseline; baseline score of endpoint; treatment group; visit; treatment-by-visit interaction; study number (pooled analysis only); type of tracer (Florbetaben vs Flutemetamol)</t>
  </si>
  <si>
    <t>To detect a 30% treatment effect</t>
  </si>
  <si>
    <t>To detect a treatment effect on CSF Aβ42 of 50 pg/mL</t>
  </si>
  <si>
    <t>2-sided α level of 0.1</t>
  </si>
  <si>
    <t>2017_Ost_Gan</t>
  </si>
  <si>
    <t>fixed categorical effects for treatment; assessment weeks relative to the first dose of study medication (time); treatment-by-time interaction; APOE ε4 status (carrier vs noncarrier); continuous covariates of the baseline CDR-SB value; hippocampal volume at baseline</t>
  </si>
  <si>
    <t>baseline value; treatment</t>
  </si>
  <si>
    <t>subset</t>
  </si>
  <si>
    <t>percentage change from baseline</t>
  </si>
  <si>
    <t>2014_Sal_Bap</t>
  </si>
  <si>
    <t>baseline score; study group; visit; study group-by-visit interaction; baseline severity AD (categorised by MMSE scores); APOE4 strat; symptomatic AD drug use at baseline; substudy participation</t>
  </si>
  <si>
    <t>2.21-unit (ε4 +) / 2.65-unit (ε4 –) ADAS-Cog11 difference</t>
  </si>
  <si>
    <t>DAD</t>
  </si>
  <si>
    <t>5.39-unit (ε4 +) / 6.56-unit (ε4 –) DAD difference</t>
  </si>
  <si>
    <t>PiB-PET</t>
  </si>
  <si>
    <t>CSF pTau</t>
  </si>
  <si>
    <t>2023_Sim_Don</t>
  </si>
  <si>
    <t>NCS2</t>
  </si>
  <si>
    <t>treatment group; baseline score of the specific endpoint; baseline MMSE score; disease stage; geographic region; apoe4 status; use of symptomatic AD medication at baseline; age; sex; basis expansion terms</t>
  </si>
  <si>
    <t>&gt;95</t>
  </si>
  <si>
    <t>Mean ΔiADRS = 3.20 points (32% reduction vs 10.06-point placebo decline)</t>
  </si>
  <si>
    <t>2-sided α level of 0.05. Low/medium tau population focus</t>
  </si>
  <si>
    <t>treatment group; baseline score of the specific endpoint; baseline MMSE score; disease stage; geographic region; apoe4 status; use of symptomatic AD medication at baseline; age; sex</t>
  </si>
  <si>
    <t>baseline tau SUVR; age; tau burden (combined population)</t>
  </si>
  <si>
    <t>2016_Van_Bap</t>
  </si>
  <si>
    <t>treatment group; baseline score of the specific endpoint; baseline MMSE score; disease stage; geographic region; apoe4 status; use of symptomatic AD medication at baseline; age; sex; In the carrier study (3001), APOE ε4 copy number (1 vs. 2) also a fixed effect</t>
  </si>
  <si>
    <t>2.21-point (ε4 +) / 2.65-point (ε4 –) advantage over placebo on ADAS-Cog/11 at Week 78</t>
  </si>
  <si>
    <t>5.39-point (ε4 +) / 6.56-point (ε4 –) advantage over placebo on DAD at Week 78</t>
  </si>
  <si>
    <t>treatment; baseline; baseline MMSE stratum; use of symptomatic AD medication at baseline; apoe4 copy number (in carriers); age (baseline)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</si>
</sst>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readingOrder="0" vertical="bottom"/>
    </xf>
    <xf borderId="0" fillId="0" fontId="3" numFmtId="0" xfId="0" applyAlignment="1" applyFont="1">
      <alignment readingOrder="0" vertical="bottom"/>
    </xf>
    <xf borderId="0" fillId="0" fontId="2" numFmtId="0" xfId="0" applyFont="1"/>
    <xf borderId="0" fillId="0" fontId="4" numFmtId="0" xfId="0" applyAlignment="1" applyFont="1">
      <alignment vertical="bottom"/>
    </xf>
    <xf borderId="0" fillId="0" fontId="1" numFmtId="0" xfId="0" applyFont="1"/>
    <xf borderId="0" fillId="0" fontId="3" numFmtId="0" xfId="0" applyAlignment="1" applyFont="1">
      <alignment horizontal="right" vertical="bottom"/>
    </xf>
    <xf borderId="0" fillId="0" fontId="1" numFmtId="0" xfId="0" applyAlignment="1" applyFont="1">
      <alignment horizontal="center" readingOrder="0"/>
    </xf>
    <xf borderId="0" fillId="0" fontId="4" numFmtId="0" xfId="0" applyAlignment="1" applyFont="1">
      <alignment readingOrder="0"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v>499.0</v>
      </c>
      <c r="H2" s="2">
        <v>375.0</v>
      </c>
      <c r="I2" s="2">
        <v>80.0</v>
      </c>
      <c r="J2" s="2" t="s">
        <v>16</v>
      </c>
    </row>
    <row r="3">
      <c r="A3" s="2" t="s">
        <v>17</v>
      </c>
      <c r="B3" s="2" t="s">
        <v>11</v>
      </c>
      <c r="C3" s="2" t="s">
        <v>18</v>
      </c>
      <c r="D3" s="2" t="s">
        <v>13</v>
      </c>
      <c r="E3" s="2" t="s">
        <v>14</v>
      </c>
      <c r="F3" s="2" t="s">
        <v>15</v>
      </c>
      <c r="G3" s="2">
        <v>485.0</v>
      </c>
      <c r="H3" s="2">
        <v>387.0</v>
      </c>
      <c r="I3" s="2">
        <v>80.0</v>
      </c>
      <c r="J3" s="2" t="s">
        <v>16</v>
      </c>
    </row>
    <row r="4">
      <c r="A4" s="2" t="s">
        <v>19</v>
      </c>
      <c r="B4" s="2" t="s">
        <v>20</v>
      </c>
      <c r="C4" s="2" t="s">
        <v>12</v>
      </c>
      <c r="D4" s="2" t="s">
        <v>13</v>
      </c>
      <c r="E4" s="2" t="s">
        <v>14</v>
      </c>
      <c r="F4" s="2" t="s">
        <v>15</v>
      </c>
      <c r="G4" s="2">
        <v>498.0</v>
      </c>
      <c r="H4" s="2">
        <v>372.0</v>
      </c>
      <c r="I4" s="2">
        <v>80.0</v>
      </c>
      <c r="J4" s="2" t="s">
        <v>16</v>
      </c>
    </row>
    <row r="5">
      <c r="A5" s="2" t="s">
        <v>21</v>
      </c>
      <c r="B5" s="2" t="s">
        <v>20</v>
      </c>
      <c r="C5" s="2" t="s">
        <v>18</v>
      </c>
      <c r="D5" s="2" t="s">
        <v>13</v>
      </c>
      <c r="E5" s="2" t="s">
        <v>14</v>
      </c>
      <c r="F5" s="2" t="s">
        <v>15</v>
      </c>
      <c r="G5" s="2">
        <v>477.0</v>
      </c>
      <c r="H5" s="2">
        <v>397.0</v>
      </c>
      <c r="I5" s="2">
        <v>80.0</v>
      </c>
      <c r="J5" s="2" t="s">
        <v>16</v>
      </c>
    </row>
    <row r="6">
      <c r="A6" s="2" t="s">
        <v>22</v>
      </c>
      <c r="B6" s="2" t="s">
        <v>23</v>
      </c>
      <c r="C6" s="2" t="s">
        <v>24</v>
      </c>
      <c r="D6" s="2" t="s">
        <v>25</v>
      </c>
      <c r="E6" s="2" t="s">
        <v>26</v>
      </c>
      <c r="F6" s="2" t="s">
        <v>15</v>
      </c>
      <c r="G6" s="2">
        <v>543.0</v>
      </c>
      <c r="H6" s="2">
        <v>291.0</v>
      </c>
      <c r="I6" s="2">
        <v>2.0</v>
      </c>
      <c r="J6" s="2" t="s">
        <v>27</v>
      </c>
    </row>
    <row r="7">
      <c r="A7" s="2" t="s">
        <v>28</v>
      </c>
      <c r="B7" s="2" t="s">
        <v>23</v>
      </c>
      <c r="C7" s="2" t="s">
        <v>29</v>
      </c>
      <c r="D7" s="2" t="s">
        <v>25</v>
      </c>
      <c r="E7" s="2" t="s">
        <v>26</v>
      </c>
      <c r="F7" s="2" t="s">
        <v>15</v>
      </c>
      <c r="G7" s="2">
        <v>543.0</v>
      </c>
      <c r="H7" s="2">
        <v>291.0</v>
      </c>
      <c r="I7" s="2">
        <v>2.0</v>
      </c>
      <c r="J7" s="2" t="s">
        <v>27</v>
      </c>
    </row>
    <row r="8">
      <c r="A8" s="2" t="s">
        <v>30</v>
      </c>
      <c r="B8" s="2" t="s">
        <v>23</v>
      </c>
      <c r="C8" s="2" t="s">
        <v>31</v>
      </c>
      <c r="D8" s="2" t="s">
        <v>25</v>
      </c>
      <c r="E8" s="2" t="s">
        <v>26</v>
      </c>
      <c r="F8" s="2" t="s">
        <v>15</v>
      </c>
      <c r="G8" s="2">
        <v>547.0</v>
      </c>
      <c r="H8" s="2">
        <v>295.0</v>
      </c>
      <c r="I8" s="2">
        <v>2.0</v>
      </c>
      <c r="J8" s="2" t="s">
        <v>27</v>
      </c>
    </row>
    <row r="9">
      <c r="A9" s="2" t="s">
        <v>32</v>
      </c>
      <c r="B9" s="2" t="s">
        <v>23</v>
      </c>
      <c r="C9" s="2" t="s">
        <v>33</v>
      </c>
      <c r="D9" s="2" t="s">
        <v>25</v>
      </c>
      <c r="E9" s="2" t="s">
        <v>26</v>
      </c>
      <c r="F9" s="2" t="s">
        <v>15</v>
      </c>
      <c r="G9" s="2">
        <v>547.0</v>
      </c>
      <c r="H9" s="2">
        <v>295.0</v>
      </c>
      <c r="I9" s="2">
        <v>2.0</v>
      </c>
      <c r="J9" s="2" t="s">
        <v>27</v>
      </c>
    </row>
    <row r="10">
      <c r="A10" s="2" t="s">
        <v>34</v>
      </c>
      <c r="B10" s="2" t="s">
        <v>23</v>
      </c>
      <c r="C10" s="2" t="s">
        <v>18</v>
      </c>
      <c r="D10" s="2" t="s">
        <v>25</v>
      </c>
      <c r="E10" s="2" t="s">
        <v>26</v>
      </c>
      <c r="F10" s="2" t="s">
        <v>15</v>
      </c>
      <c r="G10" s="2">
        <v>548.0</v>
      </c>
      <c r="H10" s="2">
        <v>288.0</v>
      </c>
      <c r="I10" s="2">
        <v>2.0</v>
      </c>
      <c r="J10" s="2" t="s">
        <v>27</v>
      </c>
    </row>
    <row r="11">
      <c r="A11" s="2" t="s">
        <v>35</v>
      </c>
      <c r="B11" s="2" t="s">
        <v>36</v>
      </c>
      <c r="C11" s="2" t="s">
        <v>24</v>
      </c>
      <c r="D11" s="2" t="s">
        <v>25</v>
      </c>
      <c r="E11" s="2" t="s">
        <v>26</v>
      </c>
      <c r="F11" s="2" t="s">
        <v>15</v>
      </c>
      <c r="G11" s="2">
        <v>547.0</v>
      </c>
      <c r="H11" s="2">
        <v>325.0</v>
      </c>
      <c r="I11" s="2">
        <v>2.0</v>
      </c>
      <c r="J11" s="2" t="s">
        <v>27</v>
      </c>
    </row>
    <row r="12">
      <c r="A12" s="2" t="s">
        <v>37</v>
      </c>
      <c r="B12" s="2" t="s">
        <v>36</v>
      </c>
      <c r="C12" s="2" t="s">
        <v>29</v>
      </c>
      <c r="D12" s="2" t="s">
        <v>25</v>
      </c>
      <c r="E12" s="2" t="s">
        <v>26</v>
      </c>
      <c r="F12" s="2" t="s">
        <v>15</v>
      </c>
      <c r="G12" s="2">
        <v>543.0</v>
      </c>
      <c r="H12" s="2">
        <v>291.0</v>
      </c>
      <c r="I12" s="2">
        <v>2.0</v>
      </c>
      <c r="J12" s="2" t="s">
        <v>27</v>
      </c>
    </row>
    <row r="13">
      <c r="A13" s="2" t="s">
        <v>38</v>
      </c>
      <c r="B13" s="2" t="s">
        <v>36</v>
      </c>
      <c r="C13" s="2" t="s">
        <v>31</v>
      </c>
      <c r="D13" s="2" t="s">
        <v>25</v>
      </c>
      <c r="E13" s="2" t="s">
        <v>26</v>
      </c>
      <c r="G13" s="2">
        <v>555.0</v>
      </c>
      <c r="H13" s="2">
        <v>288.0</v>
      </c>
      <c r="I13" s="2">
        <v>2.0</v>
      </c>
      <c r="J13" s="2" t="s">
        <v>27</v>
      </c>
    </row>
    <row r="14">
      <c r="A14" s="2" t="s">
        <v>39</v>
      </c>
      <c r="B14" s="2" t="s">
        <v>36</v>
      </c>
      <c r="C14" s="2" t="s">
        <v>33</v>
      </c>
      <c r="D14" s="2" t="s">
        <v>25</v>
      </c>
      <c r="E14" s="2" t="s">
        <v>26</v>
      </c>
      <c r="G14" s="2">
        <v>555.0</v>
      </c>
      <c r="H14" s="2">
        <v>288.0</v>
      </c>
      <c r="I14" s="2">
        <v>2.0</v>
      </c>
      <c r="J14" s="2" t="s">
        <v>27</v>
      </c>
    </row>
    <row r="15">
      <c r="A15" s="2" t="s">
        <v>40</v>
      </c>
      <c r="B15" s="2" t="s">
        <v>36</v>
      </c>
      <c r="C15" s="2" t="s">
        <v>18</v>
      </c>
      <c r="D15" s="2" t="s">
        <v>25</v>
      </c>
      <c r="E15" s="2" t="s">
        <v>26</v>
      </c>
      <c r="G15" s="2">
        <v>545.0</v>
      </c>
      <c r="H15" s="2">
        <v>325.0</v>
      </c>
      <c r="I15" s="2">
        <v>2.0</v>
      </c>
      <c r="J15" s="2" t="s">
        <v>27</v>
      </c>
    </row>
    <row r="16">
      <c r="A16" s="2" t="s">
        <v>41</v>
      </c>
      <c r="B16" s="2" t="s">
        <v>42</v>
      </c>
      <c r="C16" s="2" t="s">
        <v>12</v>
      </c>
      <c r="D16" s="2" t="s">
        <v>43</v>
      </c>
      <c r="E16" s="2" t="s">
        <v>26</v>
      </c>
      <c r="G16" s="2">
        <v>506.0</v>
      </c>
      <c r="H16" s="2">
        <v>370.0</v>
      </c>
      <c r="I16" s="2">
        <v>6.0</v>
      </c>
      <c r="J16" s="2" t="s">
        <v>16</v>
      </c>
    </row>
    <row r="17">
      <c r="A17" s="2" t="s">
        <v>44</v>
      </c>
      <c r="B17" s="2" t="s">
        <v>42</v>
      </c>
      <c r="C17" s="2" t="s">
        <v>18</v>
      </c>
      <c r="D17" s="2" t="s">
        <v>43</v>
      </c>
      <c r="E17" s="2" t="s">
        <v>26</v>
      </c>
      <c r="G17" s="2">
        <v>506.0</v>
      </c>
      <c r="H17" s="2">
        <v>370.0</v>
      </c>
      <c r="I17" s="2">
        <v>6.0</v>
      </c>
      <c r="J17" s="2" t="s">
        <v>16</v>
      </c>
    </row>
    <row r="18">
      <c r="A18" s="2" t="s">
        <v>45</v>
      </c>
      <c r="B18" s="2" t="s">
        <v>46</v>
      </c>
      <c r="C18" s="2" t="s">
        <v>12</v>
      </c>
      <c r="D18" s="2" t="s">
        <v>43</v>
      </c>
      <c r="E18" s="2" t="s">
        <v>26</v>
      </c>
      <c r="G18" s="2">
        <v>521.0</v>
      </c>
      <c r="H18" s="2">
        <v>406.0</v>
      </c>
      <c r="I18" s="2">
        <v>6.0</v>
      </c>
      <c r="J18" s="2" t="s">
        <v>16</v>
      </c>
    </row>
    <row r="19">
      <c r="A19" s="2" t="s">
        <v>47</v>
      </c>
      <c r="B19" s="2" t="s">
        <v>46</v>
      </c>
      <c r="C19" s="2" t="s">
        <v>18</v>
      </c>
      <c r="D19" s="2" t="s">
        <v>43</v>
      </c>
      <c r="E19" s="2" t="s">
        <v>26</v>
      </c>
      <c r="G19" s="2">
        <v>519.0</v>
      </c>
      <c r="H19" s="2">
        <v>400.0</v>
      </c>
      <c r="I19" s="2">
        <v>6.0</v>
      </c>
      <c r="J19" s="2" t="s">
        <v>16</v>
      </c>
    </row>
    <row r="20">
      <c r="A20" s="2" t="s">
        <v>48</v>
      </c>
      <c r="B20" s="2" t="s">
        <v>49</v>
      </c>
      <c r="C20" s="2" t="s">
        <v>12</v>
      </c>
      <c r="D20" s="2" t="s">
        <v>50</v>
      </c>
      <c r="E20" s="2" t="s">
        <v>26</v>
      </c>
      <c r="F20" s="2" t="s">
        <v>15</v>
      </c>
      <c r="G20" s="2">
        <v>898.0</v>
      </c>
      <c r="H20" s="2">
        <v>729.0</v>
      </c>
      <c r="I20" s="2">
        <v>0.0</v>
      </c>
      <c r="J20" s="2" t="s">
        <v>16</v>
      </c>
    </row>
    <row r="21">
      <c r="A21" s="2" t="s">
        <v>51</v>
      </c>
      <c r="B21" s="2" t="s">
        <v>49</v>
      </c>
      <c r="C21" s="2" t="s">
        <v>18</v>
      </c>
      <c r="D21" s="2" t="s">
        <v>50</v>
      </c>
      <c r="E21" s="2" t="s">
        <v>26</v>
      </c>
      <c r="F21" s="2" t="s">
        <v>15</v>
      </c>
      <c r="G21" s="2">
        <v>897.0</v>
      </c>
      <c r="H21" s="2">
        <v>757.0</v>
      </c>
      <c r="I21" s="2">
        <v>0.0</v>
      </c>
      <c r="J21" s="2" t="s">
        <v>16</v>
      </c>
    </row>
    <row r="22">
      <c r="A22" s="2" t="s">
        <v>52</v>
      </c>
      <c r="B22" s="2" t="s">
        <v>53</v>
      </c>
      <c r="C22" s="2" t="s">
        <v>12</v>
      </c>
      <c r="D22" s="2" t="s">
        <v>54</v>
      </c>
      <c r="E22" s="2" t="s">
        <v>26</v>
      </c>
      <c r="G22" s="2">
        <v>1057.0</v>
      </c>
      <c r="H22" s="2">
        <v>914.0</v>
      </c>
      <c r="I22" s="2">
        <v>4.0</v>
      </c>
      <c r="J22" s="2" t="s">
        <v>16</v>
      </c>
    </row>
    <row r="23">
      <c r="A23" s="2" t="s">
        <v>55</v>
      </c>
      <c r="B23" s="2" t="s">
        <v>53</v>
      </c>
      <c r="C23" s="2" t="s">
        <v>18</v>
      </c>
      <c r="D23" s="2" t="s">
        <v>54</v>
      </c>
      <c r="E23" s="2" t="s">
        <v>26</v>
      </c>
      <c r="G23" s="2">
        <v>1072.0</v>
      </c>
      <c r="H23" s="2">
        <v>908.0</v>
      </c>
      <c r="I23" s="2">
        <v>4.0</v>
      </c>
      <c r="J23" s="2" t="s">
        <v>16</v>
      </c>
    </row>
    <row r="24">
      <c r="A24" s="2" t="s">
        <v>56</v>
      </c>
      <c r="B24" s="2" t="s">
        <v>57</v>
      </c>
      <c r="C24" s="2" t="s">
        <v>12</v>
      </c>
      <c r="D24" s="2" t="s">
        <v>58</v>
      </c>
      <c r="E24" s="2" t="s">
        <v>59</v>
      </c>
      <c r="F24" s="2" t="s">
        <v>15</v>
      </c>
      <c r="G24" s="2">
        <v>409.0</v>
      </c>
      <c r="H24" s="2">
        <v>85.0</v>
      </c>
      <c r="I24" s="2">
        <v>5.0</v>
      </c>
      <c r="J24" s="2" t="s">
        <v>27</v>
      </c>
    </row>
    <row r="25">
      <c r="A25" s="2" t="s">
        <v>60</v>
      </c>
      <c r="B25" s="2" t="s">
        <v>57</v>
      </c>
      <c r="C25" s="2" t="s">
        <v>18</v>
      </c>
      <c r="D25" s="2" t="s">
        <v>58</v>
      </c>
      <c r="E25" s="2" t="s">
        <v>59</v>
      </c>
      <c r="F25" s="2" t="s">
        <v>15</v>
      </c>
      <c r="G25" s="2">
        <v>409.0</v>
      </c>
      <c r="H25" s="2">
        <v>88.0</v>
      </c>
      <c r="I25" s="2">
        <v>5.0</v>
      </c>
      <c r="J25" s="2" t="s">
        <v>27</v>
      </c>
    </row>
    <row r="26">
      <c r="A26" s="2" t="s">
        <v>61</v>
      </c>
      <c r="B26" s="2" t="s">
        <v>62</v>
      </c>
      <c r="C26" s="2" t="s">
        <v>12</v>
      </c>
      <c r="D26" s="2" t="s">
        <v>58</v>
      </c>
      <c r="E26" s="2" t="s">
        <v>59</v>
      </c>
      <c r="F26" s="2" t="s">
        <v>15</v>
      </c>
      <c r="G26" s="2">
        <v>407.0</v>
      </c>
      <c r="H26" s="2">
        <v>0.0</v>
      </c>
      <c r="I26" s="2">
        <v>0.0</v>
      </c>
      <c r="J26" s="2" t="s">
        <v>27</v>
      </c>
    </row>
    <row r="27">
      <c r="A27" s="2" t="s">
        <v>63</v>
      </c>
      <c r="B27" s="2" t="s">
        <v>62</v>
      </c>
      <c r="C27" s="2" t="s">
        <v>18</v>
      </c>
      <c r="D27" s="2" t="s">
        <v>58</v>
      </c>
      <c r="E27" s="2" t="s">
        <v>59</v>
      </c>
      <c r="F27" s="2" t="s">
        <v>15</v>
      </c>
      <c r="G27" s="2">
        <v>399.0</v>
      </c>
      <c r="H27" s="2">
        <v>0.0</v>
      </c>
      <c r="I27" s="2">
        <v>0.0</v>
      </c>
      <c r="J27" s="2" t="s">
        <v>27</v>
      </c>
    </row>
    <row r="28">
      <c r="A28" s="2" t="s">
        <v>64</v>
      </c>
      <c r="B28" s="2" t="s">
        <v>65</v>
      </c>
      <c r="C28" s="2" t="s">
        <v>66</v>
      </c>
      <c r="D28" s="2" t="s">
        <v>67</v>
      </c>
      <c r="E28" s="2" t="s">
        <v>59</v>
      </c>
      <c r="F28" s="2" t="s">
        <v>15</v>
      </c>
      <c r="G28" s="2">
        <v>271.0</v>
      </c>
      <c r="H28" s="2">
        <v>110.0</v>
      </c>
      <c r="I28" s="2">
        <v>0.0</v>
      </c>
      <c r="J28" s="2" t="s">
        <v>27</v>
      </c>
    </row>
    <row r="29">
      <c r="A29" s="2" t="s">
        <v>68</v>
      </c>
      <c r="B29" s="2" t="s">
        <v>65</v>
      </c>
      <c r="C29" s="2" t="s">
        <v>69</v>
      </c>
      <c r="D29" s="2" t="s">
        <v>67</v>
      </c>
      <c r="E29" s="2" t="s">
        <v>59</v>
      </c>
      <c r="F29" s="2" t="s">
        <v>15</v>
      </c>
      <c r="G29" s="2">
        <v>260.0</v>
      </c>
      <c r="H29" s="2">
        <v>98.0</v>
      </c>
      <c r="I29" s="2">
        <v>0.0</v>
      </c>
      <c r="J29" s="2" t="s">
        <v>27</v>
      </c>
    </row>
    <row r="30">
      <c r="A30" s="2" t="s">
        <v>70</v>
      </c>
      <c r="B30" s="2" t="s">
        <v>65</v>
      </c>
      <c r="C30" s="2" t="s">
        <v>18</v>
      </c>
      <c r="D30" s="2" t="s">
        <v>67</v>
      </c>
      <c r="E30" s="2" t="s">
        <v>59</v>
      </c>
      <c r="F30" s="2" t="s">
        <v>15</v>
      </c>
      <c r="G30" s="2">
        <v>266.0</v>
      </c>
      <c r="H30" s="2">
        <v>108.0</v>
      </c>
      <c r="I30" s="2">
        <v>0.0</v>
      </c>
      <c r="J30" s="2" t="s">
        <v>27</v>
      </c>
    </row>
    <row r="31">
      <c r="A31" s="2" t="s">
        <v>71</v>
      </c>
      <c r="B31" s="2">
        <v>302.0</v>
      </c>
      <c r="C31" s="2" t="s">
        <v>72</v>
      </c>
      <c r="D31" s="2" t="s">
        <v>73</v>
      </c>
      <c r="E31" s="2" t="s">
        <v>26</v>
      </c>
      <c r="F31" s="2" t="s">
        <v>15</v>
      </c>
      <c r="G31" s="2">
        <v>658.0</v>
      </c>
      <c r="H31" s="2">
        <v>420.0</v>
      </c>
      <c r="I31" s="2">
        <v>0.0</v>
      </c>
      <c r="J31" s="2" t="s">
        <v>16</v>
      </c>
    </row>
    <row r="32">
      <c r="A32" s="2" t="s">
        <v>74</v>
      </c>
      <c r="B32" s="2">
        <v>302.0</v>
      </c>
      <c r="C32" s="2" t="s">
        <v>75</v>
      </c>
      <c r="D32" s="2" t="s">
        <v>73</v>
      </c>
      <c r="E32" s="2" t="s">
        <v>26</v>
      </c>
      <c r="F32" s="2" t="s">
        <v>15</v>
      </c>
      <c r="G32" s="2">
        <v>432.0</v>
      </c>
      <c r="H32" s="2">
        <v>326.0</v>
      </c>
      <c r="I32" s="2">
        <v>0.0</v>
      </c>
      <c r="J32" s="2" t="s">
        <v>16</v>
      </c>
    </row>
    <row r="33">
      <c r="A33" s="2" t="s">
        <v>76</v>
      </c>
      <c r="B33" s="2">
        <v>301.0</v>
      </c>
      <c r="C33" s="2" t="s">
        <v>66</v>
      </c>
      <c r="D33" s="2" t="s">
        <v>73</v>
      </c>
      <c r="E33" s="2" t="s">
        <v>26</v>
      </c>
      <c r="F33" s="2" t="s">
        <v>15</v>
      </c>
      <c r="G33" s="2">
        <v>314.0</v>
      </c>
      <c r="H33" s="2">
        <v>223.0</v>
      </c>
      <c r="I33" s="2">
        <v>0.0</v>
      </c>
      <c r="J33" s="2" t="s">
        <v>16</v>
      </c>
    </row>
    <row r="34">
      <c r="A34" s="2" t="s">
        <v>77</v>
      </c>
      <c r="B34" s="2">
        <v>301.0</v>
      </c>
      <c r="C34" s="2" t="s">
        <v>69</v>
      </c>
      <c r="D34" s="2" t="s">
        <v>73</v>
      </c>
      <c r="E34" s="2" t="s">
        <v>26</v>
      </c>
      <c r="F34" s="2" t="s">
        <v>15</v>
      </c>
      <c r="G34" s="2">
        <v>307.0</v>
      </c>
      <c r="H34" s="2">
        <v>199.0</v>
      </c>
      <c r="I34" s="2">
        <v>0.0</v>
      </c>
      <c r="J34" s="2" t="s">
        <v>27</v>
      </c>
    </row>
    <row r="35">
      <c r="A35" s="2" t="s">
        <v>78</v>
      </c>
      <c r="B35" s="2">
        <v>301.0</v>
      </c>
      <c r="C35" s="2" t="s">
        <v>18</v>
      </c>
      <c r="D35" s="2" t="s">
        <v>73</v>
      </c>
      <c r="E35" s="2" t="s">
        <v>26</v>
      </c>
      <c r="F35" s="2" t="s">
        <v>15</v>
      </c>
      <c r="G35" s="2">
        <v>493.0</v>
      </c>
      <c r="H35" s="2">
        <v>366.0</v>
      </c>
      <c r="I35" s="2">
        <v>0.0</v>
      </c>
      <c r="J35" s="2" t="s">
        <v>16</v>
      </c>
    </row>
    <row r="36">
      <c r="A36" s="3" t="s">
        <v>79</v>
      </c>
      <c r="B36" s="3" t="s">
        <v>80</v>
      </c>
      <c r="C36" s="3" t="s">
        <v>12</v>
      </c>
      <c r="D36" s="3" t="s">
        <v>81</v>
      </c>
      <c r="E36" s="4" t="s">
        <v>26</v>
      </c>
      <c r="F36" s="3" t="s">
        <v>15</v>
      </c>
      <c r="G36" s="5">
        <v>860.0</v>
      </c>
      <c r="H36" s="5">
        <v>622.0</v>
      </c>
      <c r="I36" s="6">
        <v>4.0</v>
      </c>
      <c r="J36" s="7" t="s">
        <v>16</v>
      </c>
      <c r="K36" s="4"/>
      <c r="L36" s="4"/>
      <c r="M36" s="4"/>
      <c r="N36" s="4"/>
      <c r="O36" s="4"/>
      <c r="P36" s="4"/>
      <c r="Q36" s="4"/>
      <c r="R36" s="4"/>
      <c r="S36" s="4"/>
      <c r="T36" s="4"/>
      <c r="U36" s="4"/>
      <c r="V36" s="4"/>
      <c r="W36" s="4"/>
      <c r="X36" s="4"/>
      <c r="Y36" s="4"/>
      <c r="Z36" s="4"/>
    </row>
    <row r="37">
      <c r="A37" s="3" t="s">
        <v>82</v>
      </c>
      <c r="B37" s="3" t="s">
        <v>80</v>
      </c>
      <c r="C37" s="3" t="s">
        <v>18</v>
      </c>
      <c r="D37" s="3" t="s">
        <v>81</v>
      </c>
      <c r="E37" s="4" t="s">
        <v>26</v>
      </c>
      <c r="F37" s="3" t="s">
        <v>15</v>
      </c>
      <c r="G37" s="5">
        <v>876.0</v>
      </c>
      <c r="H37" s="5">
        <v>698.0</v>
      </c>
      <c r="I37" s="6">
        <v>4.0</v>
      </c>
      <c r="J37" s="7" t="s">
        <v>16</v>
      </c>
      <c r="K37" s="4"/>
      <c r="L37" s="4"/>
      <c r="M37" s="4"/>
      <c r="N37" s="4"/>
      <c r="O37" s="4"/>
      <c r="P37" s="4"/>
      <c r="Q37" s="4"/>
      <c r="R37" s="4"/>
      <c r="S37" s="4"/>
      <c r="T37" s="4"/>
      <c r="U37" s="4"/>
      <c r="V37" s="4"/>
      <c r="W37" s="4"/>
      <c r="X37" s="4"/>
      <c r="Y37" s="4"/>
      <c r="Z37" s="4"/>
    </row>
    <row r="38">
      <c r="A38" s="2" t="s">
        <v>83</v>
      </c>
      <c r="B38" s="2">
        <v>3001.0</v>
      </c>
      <c r="C38" s="2" t="s">
        <v>72</v>
      </c>
      <c r="D38" s="2" t="s">
        <v>84</v>
      </c>
      <c r="F38" s="2" t="s">
        <v>15</v>
      </c>
      <c r="G38" s="2">
        <v>658.0</v>
      </c>
      <c r="H38" s="2">
        <v>398.0</v>
      </c>
      <c r="I38" s="2">
        <v>6.0</v>
      </c>
      <c r="J38" s="2" t="s">
        <v>27</v>
      </c>
    </row>
    <row r="39">
      <c r="A39" s="2" t="s">
        <v>85</v>
      </c>
      <c r="B39" s="2">
        <v>3001.0</v>
      </c>
      <c r="C39" s="2" t="s">
        <v>75</v>
      </c>
      <c r="D39" s="2" t="s">
        <v>84</v>
      </c>
      <c r="F39" s="2" t="s">
        <v>15</v>
      </c>
      <c r="G39" s="2">
        <v>441.0</v>
      </c>
      <c r="H39" s="2">
        <v>285.0</v>
      </c>
      <c r="I39" s="2">
        <v>6.0</v>
      </c>
      <c r="J39" s="2" t="s">
        <v>27</v>
      </c>
    </row>
    <row r="40">
      <c r="A40" s="2" t="s">
        <v>86</v>
      </c>
      <c r="B40" s="2">
        <v>3000.0</v>
      </c>
      <c r="C40" s="2" t="s">
        <v>29</v>
      </c>
      <c r="D40" s="2" t="s">
        <v>84</v>
      </c>
      <c r="F40" s="2" t="s">
        <v>15</v>
      </c>
      <c r="G40" s="2">
        <v>269.0</v>
      </c>
      <c r="H40" s="2">
        <v>102.0</v>
      </c>
      <c r="I40" s="2">
        <v>6.0</v>
      </c>
      <c r="J40" s="2" t="s">
        <v>27</v>
      </c>
    </row>
    <row r="41">
      <c r="A41" s="2" t="s">
        <v>87</v>
      </c>
      <c r="B41" s="2">
        <v>3000.0</v>
      </c>
      <c r="C41" s="2" t="s">
        <v>33</v>
      </c>
      <c r="D41" s="2" t="s">
        <v>84</v>
      </c>
      <c r="F41" s="2" t="s">
        <v>15</v>
      </c>
      <c r="G41" s="2">
        <v>264.0</v>
      </c>
      <c r="H41" s="2">
        <v>94.0</v>
      </c>
      <c r="I41" s="2">
        <v>6.0</v>
      </c>
      <c r="J41" s="2" t="s">
        <v>27</v>
      </c>
    </row>
    <row r="42">
      <c r="A42" s="2" t="s">
        <v>88</v>
      </c>
      <c r="B42" s="2">
        <v>3000.0</v>
      </c>
      <c r="C42" s="2" t="s">
        <v>89</v>
      </c>
      <c r="D42" s="2" t="s">
        <v>84</v>
      </c>
      <c r="F42" s="2" t="s">
        <v>15</v>
      </c>
      <c r="G42" s="2">
        <v>346.0</v>
      </c>
      <c r="H42" s="2">
        <v>124.0</v>
      </c>
      <c r="I42" s="2">
        <v>6.0</v>
      </c>
      <c r="J42" s="2" t="s">
        <v>27</v>
      </c>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sheetData>
  <dataValidations>
    <dataValidation type="custom" allowBlank="1" showDropDown="1" showInputMessage="1" showErrorMessage="1" prompt="Enter a value that satisfies the formula: =REGEXMATCH( TO_TEXT(A2), &quot;^[0-9]{4}_[A-Za-z]{3}_[A-Za-z]{3}_[0-9]{2}$&quot; )  " sqref="A2:A996">
      <formula1>REGEXMATCH( TO_TEXT(A2), "^[0-9]{4}_[A-Za-z]{3}_[A-Za-z]{3}_[0-9]{2}$" )  </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90</v>
      </c>
      <c r="D1" s="1" t="s">
        <v>91</v>
      </c>
      <c r="E1" s="1" t="s">
        <v>92</v>
      </c>
      <c r="F1" s="1" t="s">
        <v>93</v>
      </c>
      <c r="G1" s="1" t="s">
        <v>94</v>
      </c>
      <c r="H1" s="1" t="s">
        <v>95</v>
      </c>
      <c r="I1" s="1" t="s">
        <v>96</v>
      </c>
    </row>
    <row r="2">
      <c r="A2" s="2" t="s">
        <v>10</v>
      </c>
      <c r="B2" s="2" t="s">
        <v>12</v>
      </c>
      <c r="C2" s="2" t="s">
        <v>97</v>
      </c>
      <c r="D2" s="2" t="s">
        <v>98</v>
      </c>
      <c r="E2" s="2">
        <v>510.0</v>
      </c>
      <c r="F2" s="2" t="s">
        <v>99</v>
      </c>
      <c r="G2" s="2">
        <v>2.0</v>
      </c>
      <c r="H2" s="2" t="s">
        <v>100</v>
      </c>
    </row>
    <row r="3">
      <c r="A3" s="2" t="s">
        <v>17</v>
      </c>
      <c r="B3" s="2" t="s">
        <v>18</v>
      </c>
      <c r="C3" s="2" t="s">
        <v>101</v>
      </c>
      <c r="D3" s="2" t="s">
        <v>98</v>
      </c>
      <c r="E3" s="2">
        <v>0.0</v>
      </c>
      <c r="G3" s="2">
        <v>0.0</v>
      </c>
      <c r="H3" s="2" t="s">
        <v>100</v>
      </c>
    </row>
    <row r="4">
      <c r="A4" s="2" t="s">
        <v>19</v>
      </c>
      <c r="B4" s="2" t="s">
        <v>12</v>
      </c>
      <c r="C4" s="2" t="s">
        <v>97</v>
      </c>
      <c r="D4" s="2" t="s">
        <v>98</v>
      </c>
      <c r="E4" s="2">
        <v>510.0</v>
      </c>
      <c r="F4" s="2" t="s">
        <v>99</v>
      </c>
      <c r="G4" s="2">
        <v>2.0</v>
      </c>
      <c r="H4" s="2" t="s">
        <v>100</v>
      </c>
    </row>
    <row r="5">
      <c r="A5" s="2" t="s">
        <v>21</v>
      </c>
      <c r="B5" s="2" t="s">
        <v>18</v>
      </c>
      <c r="C5" s="2" t="s">
        <v>101</v>
      </c>
      <c r="D5" s="2" t="s">
        <v>98</v>
      </c>
      <c r="E5" s="2">
        <v>0.0</v>
      </c>
      <c r="G5" s="2">
        <v>0.0</v>
      </c>
      <c r="H5" s="2" t="s">
        <v>100</v>
      </c>
    </row>
    <row r="6">
      <c r="A6" s="2" t="s">
        <v>22</v>
      </c>
      <c r="B6" s="2" t="s">
        <v>24</v>
      </c>
      <c r="C6" s="2" t="s">
        <v>102</v>
      </c>
      <c r="D6" s="2" t="s">
        <v>98</v>
      </c>
      <c r="E6" s="2">
        <v>3.0</v>
      </c>
      <c r="F6" s="2" t="s">
        <v>103</v>
      </c>
      <c r="G6" s="2">
        <v>4.0</v>
      </c>
      <c r="H6" s="2" t="s">
        <v>104</v>
      </c>
    </row>
    <row r="7">
      <c r="A7" s="2" t="s">
        <v>28</v>
      </c>
      <c r="B7" s="2" t="s">
        <v>29</v>
      </c>
      <c r="C7" s="2" t="s">
        <v>102</v>
      </c>
      <c r="D7" s="2" t="s">
        <v>98</v>
      </c>
      <c r="E7" s="2">
        <v>6.0</v>
      </c>
      <c r="F7" s="2" t="s">
        <v>103</v>
      </c>
      <c r="G7" s="2">
        <v>4.0</v>
      </c>
      <c r="H7" s="2" t="s">
        <v>105</v>
      </c>
    </row>
    <row r="8">
      <c r="A8" s="2" t="s">
        <v>30</v>
      </c>
      <c r="B8" s="2" t="s">
        <v>31</v>
      </c>
      <c r="C8" s="2" t="s">
        <v>102</v>
      </c>
      <c r="D8" s="2" t="s">
        <v>98</v>
      </c>
      <c r="E8" s="2">
        <v>10.0</v>
      </c>
      <c r="F8" s="2" t="s">
        <v>103</v>
      </c>
      <c r="G8" s="2">
        <v>4.0</v>
      </c>
      <c r="H8" s="2" t="s">
        <v>104</v>
      </c>
    </row>
    <row r="9">
      <c r="A9" s="2" t="s">
        <v>32</v>
      </c>
      <c r="B9" s="2" t="s">
        <v>33</v>
      </c>
      <c r="C9" s="2" t="s">
        <v>102</v>
      </c>
      <c r="D9" s="2" t="s">
        <v>98</v>
      </c>
      <c r="E9" s="2">
        <v>10.0</v>
      </c>
      <c r="F9" s="2" t="s">
        <v>103</v>
      </c>
      <c r="G9" s="2">
        <v>4.0</v>
      </c>
      <c r="H9" s="2" t="s">
        <v>105</v>
      </c>
    </row>
    <row r="10">
      <c r="A10" s="2" t="s">
        <v>34</v>
      </c>
      <c r="B10" s="2" t="s">
        <v>18</v>
      </c>
      <c r="C10" s="2" t="s">
        <v>101</v>
      </c>
      <c r="D10" s="2" t="s">
        <v>98</v>
      </c>
      <c r="E10" s="2">
        <v>0.0</v>
      </c>
      <c r="G10" s="2">
        <v>0.0</v>
      </c>
      <c r="H10" s="2" t="s">
        <v>100</v>
      </c>
    </row>
    <row r="11">
      <c r="A11" s="2" t="s">
        <v>35</v>
      </c>
      <c r="B11" s="2" t="s">
        <v>24</v>
      </c>
      <c r="C11" s="2" t="s">
        <v>102</v>
      </c>
      <c r="D11" s="2" t="s">
        <v>98</v>
      </c>
      <c r="E11" s="2">
        <v>3.0</v>
      </c>
      <c r="F11" s="2" t="s">
        <v>103</v>
      </c>
      <c r="G11" s="2">
        <v>4.0</v>
      </c>
      <c r="H11" s="2" t="s">
        <v>104</v>
      </c>
    </row>
    <row r="12">
      <c r="A12" s="2" t="s">
        <v>37</v>
      </c>
      <c r="B12" s="2" t="s">
        <v>29</v>
      </c>
      <c r="C12" s="2" t="s">
        <v>102</v>
      </c>
      <c r="D12" s="2" t="s">
        <v>98</v>
      </c>
      <c r="E12" s="2">
        <v>6.0</v>
      </c>
      <c r="F12" s="2" t="s">
        <v>103</v>
      </c>
      <c r="G12" s="2">
        <v>4.0</v>
      </c>
      <c r="H12" s="2" t="s">
        <v>105</v>
      </c>
    </row>
    <row r="13">
      <c r="A13" s="2" t="s">
        <v>38</v>
      </c>
      <c r="B13" s="2" t="s">
        <v>31</v>
      </c>
      <c r="C13" s="2" t="s">
        <v>102</v>
      </c>
      <c r="D13" s="2" t="s">
        <v>98</v>
      </c>
      <c r="E13" s="2">
        <v>10.0</v>
      </c>
      <c r="F13" s="2" t="s">
        <v>103</v>
      </c>
      <c r="G13" s="2">
        <v>4.0</v>
      </c>
      <c r="H13" s="2" t="s">
        <v>104</v>
      </c>
    </row>
    <row r="14">
      <c r="A14" s="2" t="s">
        <v>39</v>
      </c>
      <c r="B14" s="2" t="s">
        <v>33</v>
      </c>
      <c r="C14" s="2" t="s">
        <v>102</v>
      </c>
      <c r="D14" s="2" t="s">
        <v>98</v>
      </c>
      <c r="E14" s="2">
        <v>10.0</v>
      </c>
      <c r="F14" s="2" t="s">
        <v>103</v>
      </c>
      <c r="G14" s="2">
        <v>4.0</v>
      </c>
      <c r="H14" s="2" t="s">
        <v>105</v>
      </c>
    </row>
    <row r="15">
      <c r="A15" s="2" t="s">
        <v>40</v>
      </c>
      <c r="B15" s="2" t="s">
        <v>18</v>
      </c>
      <c r="C15" s="2" t="s">
        <v>101</v>
      </c>
      <c r="D15" s="2" t="s">
        <v>98</v>
      </c>
      <c r="E15" s="2">
        <v>0.0</v>
      </c>
      <c r="G15" s="2">
        <v>0.0</v>
      </c>
      <c r="H15" s="2" t="s">
        <v>100</v>
      </c>
    </row>
    <row r="16">
      <c r="A16" s="2" t="s">
        <v>41</v>
      </c>
      <c r="B16" s="2" t="s">
        <v>12</v>
      </c>
      <c r="C16" s="2" t="s">
        <v>106</v>
      </c>
      <c r="D16" s="2" t="s">
        <v>98</v>
      </c>
      <c r="E16" s="2">
        <v>400.0</v>
      </c>
      <c r="F16" s="2" t="s">
        <v>99</v>
      </c>
      <c r="G16" s="2">
        <v>4.0</v>
      </c>
      <c r="H16" s="2" t="s">
        <v>100</v>
      </c>
    </row>
    <row r="17">
      <c r="A17" s="2" t="s">
        <v>44</v>
      </c>
      <c r="B17" s="2" t="s">
        <v>18</v>
      </c>
      <c r="C17" s="2" t="s">
        <v>101</v>
      </c>
      <c r="D17" s="2" t="s">
        <v>98</v>
      </c>
      <c r="E17" s="2">
        <v>0.0</v>
      </c>
      <c r="G17" s="2">
        <v>0.0</v>
      </c>
      <c r="H17" s="2" t="s">
        <v>100</v>
      </c>
    </row>
    <row r="18">
      <c r="A18" s="2" t="s">
        <v>45</v>
      </c>
      <c r="B18" s="2" t="s">
        <v>12</v>
      </c>
      <c r="C18" s="2" t="s">
        <v>106</v>
      </c>
      <c r="D18" s="2" t="s">
        <v>98</v>
      </c>
      <c r="E18" s="2">
        <v>400.0</v>
      </c>
      <c r="F18" s="2" t="s">
        <v>99</v>
      </c>
      <c r="G18" s="2">
        <v>4.0</v>
      </c>
      <c r="H18" s="2" t="s">
        <v>100</v>
      </c>
    </row>
    <row r="19">
      <c r="A19" s="2" t="s">
        <v>47</v>
      </c>
      <c r="B19" s="2" t="s">
        <v>18</v>
      </c>
      <c r="C19" s="2" t="s">
        <v>101</v>
      </c>
      <c r="D19" s="2" t="s">
        <v>98</v>
      </c>
      <c r="E19" s="2">
        <v>0.0</v>
      </c>
      <c r="G19" s="2">
        <v>0.0</v>
      </c>
      <c r="H19" s="2" t="s">
        <v>100</v>
      </c>
    </row>
    <row r="20">
      <c r="A20" s="2" t="s">
        <v>48</v>
      </c>
      <c r="B20" s="2" t="s">
        <v>12</v>
      </c>
      <c r="C20" s="2" t="s">
        <v>107</v>
      </c>
      <c r="D20" s="2" t="s">
        <v>98</v>
      </c>
      <c r="E20" s="2">
        <v>10.0</v>
      </c>
      <c r="F20" s="2" t="s">
        <v>103</v>
      </c>
      <c r="G20" s="2">
        <v>2.0</v>
      </c>
      <c r="H20" s="2" t="s">
        <v>100</v>
      </c>
    </row>
    <row r="21">
      <c r="A21" s="2" t="s">
        <v>51</v>
      </c>
      <c r="B21" s="2" t="s">
        <v>18</v>
      </c>
      <c r="C21" s="2" t="s">
        <v>101</v>
      </c>
      <c r="D21" s="2" t="s">
        <v>98</v>
      </c>
      <c r="E21" s="2">
        <v>0.0</v>
      </c>
      <c r="G21" s="2">
        <v>0.0</v>
      </c>
      <c r="H21" s="2" t="s">
        <v>100</v>
      </c>
    </row>
    <row r="22">
      <c r="A22" s="2" t="s">
        <v>52</v>
      </c>
      <c r="B22" s="2" t="s">
        <v>12</v>
      </c>
      <c r="C22" s="2" t="s">
        <v>106</v>
      </c>
      <c r="D22" s="2" t="s">
        <v>98</v>
      </c>
      <c r="E22" s="2">
        <v>400.0</v>
      </c>
      <c r="F22" s="2" t="s">
        <v>99</v>
      </c>
      <c r="G22" s="2">
        <v>4.0</v>
      </c>
      <c r="H22" s="2" t="s">
        <v>100</v>
      </c>
    </row>
    <row r="23">
      <c r="A23" s="2" t="s">
        <v>55</v>
      </c>
      <c r="B23" s="2" t="s">
        <v>18</v>
      </c>
      <c r="C23" s="2" t="s">
        <v>101</v>
      </c>
      <c r="D23" s="2" t="s">
        <v>98</v>
      </c>
      <c r="E23" s="2">
        <v>0.0</v>
      </c>
      <c r="G23" s="2">
        <v>0.0</v>
      </c>
      <c r="H23" s="2" t="s">
        <v>100</v>
      </c>
    </row>
    <row r="24">
      <c r="A24" s="2" t="s">
        <v>56</v>
      </c>
      <c r="B24" s="2" t="s">
        <v>12</v>
      </c>
      <c r="C24" s="2" t="s">
        <v>108</v>
      </c>
      <c r="D24" s="2" t="s">
        <v>98</v>
      </c>
      <c r="E24" s="2">
        <v>60.0</v>
      </c>
      <c r="F24" s="2" t="s">
        <v>103</v>
      </c>
      <c r="G24" s="2">
        <v>4.0</v>
      </c>
      <c r="H24" s="2" t="s">
        <v>100</v>
      </c>
    </row>
    <row r="25">
      <c r="A25" s="2" t="s">
        <v>60</v>
      </c>
      <c r="B25" s="2" t="s">
        <v>18</v>
      </c>
      <c r="C25" s="2" t="s">
        <v>101</v>
      </c>
      <c r="D25" s="2" t="s">
        <v>98</v>
      </c>
      <c r="E25" s="2">
        <v>0.0</v>
      </c>
      <c r="G25" s="2">
        <v>0.0</v>
      </c>
      <c r="H25" s="2" t="s">
        <v>100</v>
      </c>
    </row>
    <row r="26">
      <c r="A26" s="2" t="s">
        <v>61</v>
      </c>
      <c r="B26" s="2" t="s">
        <v>12</v>
      </c>
      <c r="C26" s="2" t="s">
        <v>108</v>
      </c>
      <c r="D26" s="2" t="s">
        <v>98</v>
      </c>
      <c r="E26" s="2">
        <v>60.0</v>
      </c>
      <c r="F26" s="2" t="s">
        <v>103</v>
      </c>
      <c r="G26" s="2">
        <v>4.0</v>
      </c>
      <c r="H26" s="2" t="s">
        <v>100</v>
      </c>
    </row>
    <row r="27">
      <c r="A27" s="2" t="s">
        <v>63</v>
      </c>
      <c r="B27" s="2" t="s">
        <v>18</v>
      </c>
      <c r="C27" s="2" t="s">
        <v>101</v>
      </c>
      <c r="D27" s="2" t="s">
        <v>98</v>
      </c>
      <c r="E27" s="2">
        <v>0.0</v>
      </c>
      <c r="G27" s="2">
        <v>0.0</v>
      </c>
      <c r="H27" s="2" t="s">
        <v>100</v>
      </c>
    </row>
    <row r="28">
      <c r="A28" s="2" t="s">
        <v>64</v>
      </c>
      <c r="B28" s="2" t="s">
        <v>66</v>
      </c>
      <c r="C28" s="2" t="s">
        <v>97</v>
      </c>
      <c r="D28" s="2" t="s">
        <v>98</v>
      </c>
      <c r="E28" s="2">
        <v>105.0</v>
      </c>
      <c r="F28" s="2" t="s">
        <v>99</v>
      </c>
      <c r="G28" s="2">
        <v>4.0</v>
      </c>
      <c r="H28" s="2" t="s">
        <v>100</v>
      </c>
    </row>
    <row r="29">
      <c r="A29" s="2" t="s">
        <v>68</v>
      </c>
      <c r="B29" s="2" t="s">
        <v>69</v>
      </c>
      <c r="C29" s="2" t="s">
        <v>97</v>
      </c>
      <c r="D29" s="2" t="s">
        <v>98</v>
      </c>
      <c r="E29" s="2">
        <v>225.0</v>
      </c>
      <c r="F29" s="2" t="s">
        <v>99</v>
      </c>
      <c r="G29" s="2">
        <v>4.0</v>
      </c>
      <c r="H29" s="2" t="s">
        <v>100</v>
      </c>
    </row>
    <row r="30">
      <c r="A30" s="2" t="s">
        <v>70</v>
      </c>
      <c r="B30" s="2" t="s">
        <v>18</v>
      </c>
      <c r="C30" s="2" t="s">
        <v>101</v>
      </c>
      <c r="D30" s="2" t="s">
        <v>98</v>
      </c>
      <c r="E30" s="2">
        <v>0.0</v>
      </c>
      <c r="G30" s="2">
        <v>0.0</v>
      </c>
      <c r="H30" s="2" t="s">
        <v>100</v>
      </c>
    </row>
    <row r="31">
      <c r="A31" s="2" t="s">
        <v>71</v>
      </c>
      <c r="B31" s="2" t="s">
        <v>72</v>
      </c>
      <c r="C31" s="2" t="s">
        <v>109</v>
      </c>
      <c r="D31" s="2" t="s">
        <v>98</v>
      </c>
      <c r="E31" s="2">
        <v>0.5</v>
      </c>
      <c r="F31" s="2" t="s">
        <v>103</v>
      </c>
      <c r="G31" s="2">
        <v>13.0</v>
      </c>
      <c r="H31" s="2" t="s">
        <v>104</v>
      </c>
    </row>
    <row r="32">
      <c r="A32" s="2" t="s">
        <v>74</v>
      </c>
      <c r="B32" s="2" t="s">
        <v>75</v>
      </c>
      <c r="C32" s="2" t="s">
        <v>101</v>
      </c>
      <c r="D32" s="2" t="s">
        <v>98</v>
      </c>
      <c r="E32" s="2">
        <v>0.0</v>
      </c>
      <c r="G32" s="2">
        <v>0.0</v>
      </c>
      <c r="H32" s="2" t="s">
        <v>104</v>
      </c>
    </row>
    <row r="33">
      <c r="A33" s="2" t="s">
        <v>76</v>
      </c>
      <c r="B33" s="2" t="s">
        <v>66</v>
      </c>
      <c r="C33" s="2" t="s">
        <v>109</v>
      </c>
      <c r="D33" s="2" t="s">
        <v>98</v>
      </c>
      <c r="E33" s="2">
        <v>0.5</v>
      </c>
      <c r="F33" s="2" t="s">
        <v>103</v>
      </c>
      <c r="G33" s="2">
        <v>13.0</v>
      </c>
      <c r="H33" s="2" t="s">
        <v>105</v>
      </c>
    </row>
    <row r="34">
      <c r="A34" s="2" t="s">
        <v>77</v>
      </c>
      <c r="B34" s="2" t="s">
        <v>69</v>
      </c>
      <c r="C34" s="2" t="s">
        <v>109</v>
      </c>
      <c r="D34" s="2" t="s">
        <v>98</v>
      </c>
      <c r="E34" s="2">
        <v>1.0</v>
      </c>
      <c r="F34" s="2" t="s">
        <v>103</v>
      </c>
      <c r="G34" s="2">
        <v>13.0</v>
      </c>
      <c r="H34" s="2" t="s">
        <v>105</v>
      </c>
    </row>
    <row r="35">
      <c r="A35" s="2" t="s">
        <v>78</v>
      </c>
      <c r="B35" s="2" t="s">
        <v>18</v>
      </c>
      <c r="C35" s="2" t="s">
        <v>101</v>
      </c>
      <c r="D35" s="2" t="s">
        <v>98</v>
      </c>
      <c r="E35" s="2">
        <v>0.0</v>
      </c>
      <c r="G35" s="2">
        <v>0.0</v>
      </c>
      <c r="H35" s="2" t="s">
        <v>105</v>
      </c>
    </row>
    <row r="36">
      <c r="A36" s="3" t="s">
        <v>79</v>
      </c>
      <c r="B36" s="3" t="s">
        <v>12</v>
      </c>
      <c r="C36" s="3" t="s">
        <v>110</v>
      </c>
      <c r="D36" s="3" t="s">
        <v>98</v>
      </c>
      <c r="E36" s="5">
        <v>1400.0</v>
      </c>
      <c r="F36" s="3" t="s">
        <v>99</v>
      </c>
      <c r="G36" s="5">
        <v>4.0</v>
      </c>
      <c r="H36" s="3" t="s">
        <v>100</v>
      </c>
      <c r="I36" s="4"/>
      <c r="J36" s="4"/>
      <c r="K36" s="4"/>
      <c r="L36" s="4"/>
      <c r="M36" s="4"/>
      <c r="N36" s="4"/>
      <c r="O36" s="4"/>
      <c r="P36" s="4"/>
      <c r="Q36" s="4"/>
      <c r="R36" s="4"/>
      <c r="S36" s="4"/>
      <c r="T36" s="4"/>
      <c r="U36" s="4"/>
      <c r="V36" s="4"/>
      <c r="W36" s="4"/>
      <c r="X36" s="4"/>
      <c r="Y36" s="4"/>
      <c r="Z36" s="4"/>
      <c r="AA36" s="4"/>
      <c r="AB36" s="4"/>
      <c r="AC36" s="4"/>
      <c r="AD36" s="4"/>
    </row>
    <row r="37">
      <c r="A37" s="3" t="s">
        <v>82</v>
      </c>
      <c r="B37" s="3" t="s">
        <v>18</v>
      </c>
      <c r="C37" s="3" t="s">
        <v>101</v>
      </c>
      <c r="D37" s="3" t="s">
        <v>98</v>
      </c>
      <c r="E37" s="5">
        <v>0.0</v>
      </c>
      <c r="F37" s="3"/>
      <c r="G37" s="5">
        <v>0.0</v>
      </c>
      <c r="H37" s="3" t="s">
        <v>100</v>
      </c>
      <c r="I37" s="4"/>
      <c r="J37" s="4"/>
      <c r="K37" s="4"/>
      <c r="L37" s="4"/>
      <c r="M37" s="4"/>
      <c r="N37" s="4"/>
      <c r="O37" s="4"/>
      <c r="P37" s="4"/>
      <c r="Q37" s="4"/>
      <c r="R37" s="4"/>
      <c r="S37" s="4"/>
      <c r="T37" s="4"/>
      <c r="U37" s="4"/>
      <c r="V37" s="4"/>
      <c r="W37" s="4"/>
      <c r="X37" s="4"/>
      <c r="Y37" s="4"/>
      <c r="Z37" s="4"/>
      <c r="AA37" s="4"/>
      <c r="AB37" s="4"/>
      <c r="AC37" s="4"/>
      <c r="AD37" s="4"/>
    </row>
    <row r="38">
      <c r="A38" s="2" t="s">
        <v>83</v>
      </c>
      <c r="B38" s="2" t="s">
        <v>72</v>
      </c>
      <c r="C38" s="2" t="s">
        <v>109</v>
      </c>
      <c r="D38" s="2" t="s">
        <v>98</v>
      </c>
      <c r="E38" s="2">
        <v>0.5</v>
      </c>
      <c r="F38" s="2" t="s">
        <v>103</v>
      </c>
      <c r="G38" s="2">
        <v>13.0</v>
      </c>
      <c r="H38" s="2" t="s">
        <v>104</v>
      </c>
    </row>
    <row r="39">
      <c r="A39" s="2" t="s">
        <v>85</v>
      </c>
      <c r="B39" s="2" t="s">
        <v>75</v>
      </c>
      <c r="C39" s="2" t="s">
        <v>101</v>
      </c>
      <c r="D39" s="2" t="s">
        <v>98</v>
      </c>
      <c r="E39" s="2">
        <v>0.0</v>
      </c>
      <c r="G39" s="2">
        <v>0.0</v>
      </c>
      <c r="H39" s="2" t="s">
        <v>111</v>
      </c>
    </row>
    <row r="40">
      <c r="A40" s="2" t="s">
        <v>86</v>
      </c>
      <c r="B40" s="2" t="s">
        <v>29</v>
      </c>
      <c r="C40" s="2" t="s">
        <v>109</v>
      </c>
      <c r="D40" s="2" t="s">
        <v>98</v>
      </c>
      <c r="E40" s="2">
        <v>0.5</v>
      </c>
      <c r="F40" s="2" t="s">
        <v>103</v>
      </c>
      <c r="G40" s="2">
        <v>13.0</v>
      </c>
      <c r="H40" s="2" t="s">
        <v>105</v>
      </c>
    </row>
    <row r="41">
      <c r="A41" s="2" t="s">
        <v>87</v>
      </c>
      <c r="B41" s="2" t="s">
        <v>33</v>
      </c>
      <c r="C41" s="2" t="s">
        <v>109</v>
      </c>
      <c r="D41" s="2" t="s">
        <v>98</v>
      </c>
      <c r="E41" s="2">
        <v>1.0</v>
      </c>
      <c r="F41" s="2" t="s">
        <v>103</v>
      </c>
      <c r="G41" s="2">
        <v>13.0</v>
      </c>
      <c r="H41" s="2" t="s">
        <v>105</v>
      </c>
    </row>
    <row r="42">
      <c r="A42" s="2" t="s">
        <v>88</v>
      </c>
      <c r="B42" s="2" t="s">
        <v>89</v>
      </c>
      <c r="C42" s="2" t="s">
        <v>101</v>
      </c>
      <c r="D42" s="2" t="s">
        <v>98</v>
      </c>
      <c r="E42" s="2">
        <v>0.0</v>
      </c>
      <c r="G42" s="2">
        <v>0.0</v>
      </c>
      <c r="H42" s="2" t="s">
        <v>105</v>
      </c>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sheetData>
  <dataValidations>
    <dataValidation type="custom" allowBlank="1" showDropDown="1" showInputMessage="1" showErrorMessage="1" prompt="Enter a value that satisfies the formula: =REGEXMATCH( TO_TEXT(A2), &quot;^[0-9]{4}_[A-Za-z]{3}_[A-Za-z]{3}_[0-9]{2}$&quot; )  " sqref="A2:A997">
      <formula1>REGEXMATCH( TO_TEXT(A2), "^[0-9]{4}_[A-Za-z]{3}_[A-Za-z]{3}_[0-9]{2}$" )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93</v>
      </c>
      <c r="E1" s="1" t="s">
        <v>112</v>
      </c>
      <c r="F1" s="1" t="s">
        <v>113</v>
      </c>
      <c r="G1" s="1" t="s">
        <v>114</v>
      </c>
      <c r="H1" s="1" t="s">
        <v>115</v>
      </c>
      <c r="I1" s="1"/>
      <c r="J1" s="1"/>
      <c r="K1" s="1"/>
      <c r="L1" s="1"/>
      <c r="M1" s="1"/>
      <c r="N1" s="1"/>
      <c r="O1" s="1"/>
      <c r="P1" s="1"/>
      <c r="Q1" s="1"/>
      <c r="R1" s="1"/>
      <c r="S1" s="1"/>
      <c r="T1" s="1"/>
    </row>
    <row r="2">
      <c r="A2" s="2" t="s">
        <v>10</v>
      </c>
      <c r="B2" s="2" t="s">
        <v>11</v>
      </c>
      <c r="C2" s="2" t="s">
        <v>12</v>
      </c>
      <c r="D2" s="2" t="s">
        <v>99</v>
      </c>
      <c r="E2" s="2">
        <v>120.0</v>
      </c>
      <c r="F2" s="2">
        <v>0.0</v>
      </c>
      <c r="G2" s="2">
        <v>4.0</v>
      </c>
      <c r="H2" s="2" t="s">
        <v>116</v>
      </c>
    </row>
    <row r="3">
      <c r="A3" s="2" t="s">
        <v>10</v>
      </c>
      <c r="B3" s="2" t="s">
        <v>11</v>
      </c>
      <c r="C3" s="2" t="s">
        <v>12</v>
      </c>
      <c r="D3" s="2" t="s">
        <v>99</v>
      </c>
      <c r="E3" s="2">
        <v>255.0</v>
      </c>
      <c r="F3" s="2">
        <v>12.0</v>
      </c>
      <c r="G3" s="2">
        <v>4.0</v>
      </c>
      <c r="H3" s="2" t="s">
        <v>117</v>
      </c>
    </row>
    <row r="4">
      <c r="A4" s="2" t="s">
        <v>10</v>
      </c>
      <c r="B4" s="2" t="s">
        <v>11</v>
      </c>
      <c r="C4" s="2" t="s">
        <v>12</v>
      </c>
      <c r="D4" s="2" t="s">
        <v>99</v>
      </c>
      <c r="E4" s="2">
        <v>510.0</v>
      </c>
      <c r="F4" s="2">
        <v>24.0</v>
      </c>
      <c r="G4" s="2">
        <v>4.0</v>
      </c>
      <c r="H4" s="2" t="s">
        <v>118</v>
      </c>
    </row>
    <row r="5">
      <c r="A5" s="2" t="s">
        <v>10</v>
      </c>
      <c r="B5" s="2" t="s">
        <v>11</v>
      </c>
      <c r="C5" s="2" t="s">
        <v>12</v>
      </c>
      <c r="D5" s="2" t="s">
        <v>99</v>
      </c>
      <c r="E5" s="2">
        <v>510.0</v>
      </c>
      <c r="F5" s="2">
        <v>36.0</v>
      </c>
      <c r="G5" s="2">
        <v>2.0</v>
      </c>
      <c r="H5" s="2" t="s">
        <v>119</v>
      </c>
    </row>
    <row r="6">
      <c r="A6" s="2" t="s">
        <v>17</v>
      </c>
      <c r="B6" s="2" t="s">
        <v>11</v>
      </c>
      <c r="C6" s="2" t="s">
        <v>18</v>
      </c>
      <c r="E6" s="2">
        <v>0.0</v>
      </c>
      <c r="F6" s="2"/>
      <c r="G6" s="2"/>
    </row>
    <row r="7">
      <c r="A7" s="2" t="s">
        <v>19</v>
      </c>
      <c r="B7" s="2" t="s">
        <v>20</v>
      </c>
      <c r="C7" s="2" t="s">
        <v>12</v>
      </c>
      <c r="D7" s="2" t="s">
        <v>99</v>
      </c>
      <c r="E7" s="2">
        <v>120.0</v>
      </c>
      <c r="F7" s="2">
        <v>0.0</v>
      </c>
      <c r="G7" s="2">
        <v>4.0</v>
      </c>
      <c r="H7" s="2" t="s">
        <v>116</v>
      </c>
    </row>
    <row r="8">
      <c r="A8" s="2" t="s">
        <v>19</v>
      </c>
      <c r="B8" s="2" t="s">
        <v>20</v>
      </c>
      <c r="C8" s="2" t="s">
        <v>12</v>
      </c>
      <c r="D8" s="2" t="s">
        <v>99</v>
      </c>
      <c r="E8" s="2">
        <v>255.0</v>
      </c>
      <c r="F8" s="2">
        <v>12.0</v>
      </c>
      <c r="G8" s="2">
        <v>4.0</v>
      </c>
      <c r="H8" s="2" t="s">
        <v>117</v>
      </c>
    </row>
    <row r="9">
      <c r="A9" s="2" t="s">
        <v>19</v>
      </c>
      <c r="B9" s="2" t="s">
        <v>20</v>
      </c>
      <c r="C9" s="2" t="s">
        <v>12</v>
      </c>
      <c r="D9" s="2" t="s">
        <v>99</v>
      </c>
      <c r="E9" s="2">
        <v>510.0</v>
      </c>
      <c r="F9" s="2">
        <v>24.0</v>
      </c>
      <c r="G9" s="2">
        <v>4.0</v>
      </c>
      <c r="H9" s="2" t="s">
        <v>118</v>
      </c>
    </row>
    <row r="10">
      <c r="A10" s="2" t="s">
        <v>19</v>
      </c>
      <c r="B10" s="2" t="s">
        <v>20</v>
      </c>
      <c r="C10" s="2" t="s">
        <v>12</v>
      </c>
      <c r="D10" s="2" t="s">
        <v>99</v>
      </c>
      <c r="E10" s="2">
        <v>510.0</v>
      </c>
      <c r="F10" s="2">
        <v>36.0</v>
      </c>
      <c r="G10" s="2">
        <v>2.0</v>
      </c>
      <c r="H10" s="2" t="s">
        <v>119</v>
      </c>
    </row>
    <row r="11">
      <c r="A11" s="2" t="s">
        <v>21</v>
      </c>
      <c r="B11" s="2" t="s">
        <v>20</v>
      </c>
      <c r="C11" s="2" t="s">
        <v>18</v>
      </c>
      <c r="E11" s="2"/>
      <c r="F11" s="2"/>
      <c r="G11" s="2"/>
    </row>
    <row r="12">
      <c r="A12" s="2" t="s">
        <v>22</v>
      </c>
      <c r="B12" s="2" t="s">
        <v>23</v>
      </c>
      <c r="C12" s="2" t="s">
        <v>24</v>
      </c>
      <c r="D12" s="2" t="s">
        <v>103</v>
      </c>
      <c r="E12" s="2">
        <v>1.0</v>
      </c>
      <c r="F12" s="2">
        <v>0.0</v>
      </c>
      <c r="G12" s="2">
        <v>4.0</v>
      </c>
      <c r="H12" s="2" t="s">
        <v>120</v>
      </c>
    </row>
    <row r="13">
      <c r="A13" s="2" t="s">
        <v>22</v>
      </c>
      <c r="B13" s="2" t="s">
        <v>23</v>
      </c>
      <c r="C13" s="2" t="s">
        <v>24</v>
      </c>
      <c r="D13" s="2" t="s">
        <v>103</v>
      </c>
      <c r="E13" s="2">
        <v>1.0</v>
      </c>
      <c r="F13" s="2">
        <v>4.0</v>
      </c>
      <c r="G13" s="2">
        <v>4.0</v>
      </c>
      <c r="H13" s="2" t="s">
        <v>121</v>
      </c>
    </row>
    <row r="14">
      <c r="A14" s="2" t="s">
        <v>22</v>
      </c>
      <c r="B14" s="2" t="s">
        <v>23</v>
      </c>
      <c r="C14" s="2" t="s">
        <v>24</v>
      </c>
      <c r="D14" s="2" t="s">
        <v>103</v>
      </c>
      <c r="E14" s="2">
        <v>3.0</v>
      </c>
      <c r="F14" s="2">
        <v>8.0</v>
      </c>
      <c r="G14" s="2">
        <v>4.0</v>
      </c>
      <c r="H14" s="2" t="s">
        <v>122</v>
      </c>
    </row>
    <row r="15">
      <c r="A15" s="2" t="s">
        <v>28</v>
      </c>
      <c r="B15" s="2" t="s">
        <v>23</v>
      </c>
      <c r="C15" s="2" t="s">
        <v>29</v>
      </c>
      <c r="D15" s="2" t="s">
        <v>103</v>
      </c>
      <c r="E15" s="2">
        <v>1.0</v>
      </c>
      <c r="F15" s="2">
        <v>0.0</v>
      </c>
      <c r="G15" s="2">
        <v>4.0</v>
      </c>
      <c r="H15" s="2" t="s">
        <v>120</v>
      </c>
    </row>
    <row r="16">
      <c r="A16" s="2" t="s">
        <v>28</v>
      </c>
      <c r="B16" s="2" t="s">
        <v>23</v>
      </c>
      <c r="C16" s="2" t="s">
        <v>29</v>
      </c>
      <c r="D16" s="2" t="s">
        <v>103</v>
      </c>
      <c r="E16" s="2">
        <v>1.0</v>
      </c>
      <c r="F16" s="2">
        <v>4.0</v>
      </c>
      <c r="G16" s="2">
        <v>4.0</v>
      </c>
      <c r="H16" s="2" t="s">
        <v>120</v>
      </c>
    </row>
    <row r="17">
      <c r="A17" s="2" t="s">
        <v>28</v>
      </c>
      <c r="B17" s="2" t="s">
        <v>23</v>
      </c>
      <c r="C17" s="2" t="s">
        <v>29</v>
      </c>
      <c r="D17" s="2" t="s">
        <v>103</v>
      </c>
      <c r="E17" s="2">
        <v>3.0</v>
      </c>
      <c r="F17" s="2">
        <v>8.0</v>
      </c>
      <c r="G17" s="2">
        <v>4.0</v>
      </c>
      <c r="H17" s="2" t="s">
        <v>123</v>
      </c>
    </row>
    <row r="18">
      <c r="A18" s="2" t="s">
        <v>28</v>
      </c>
      <c r="B18" s="2" t="s">
        <v>23</v>
      </c>
      <c r="C18" s="2" t="s">
        <v>29</v>
      </c>
      <c r="D18" s="2" t="s">
        <v>103</v>
      </c>
      <c r="E18" s="2">
        <v>6.0</v>
      </c>
      <c r="F18" s="2">
        <v>24.0</v>
      </c>
      <c r="G18" s="2">
        <v>4.0</v>
      </c>
      <c r="H18" s="2" t="s">
        <v>124</v>
      </c>
    </row>
    <row r="19">
      <c r="A19" s="2" t="s">
        <v>30</v>
      </c>
      <c r="B19" s="2" t="s">
        <v>23</v>
      </c>
      <c r="C19" s="2" t="s">
        <v>31</v>
      </c>
      <c r="D19" s="2" t="s">
        <v>103</v>
      </c>
      <c r="E19" s="2">
        <v>1.0</v>
      </c>
      <c r="F19" s="2">
        <v>0.0</v>
      </c>
      <c r="G19" s="2">
        <v>4.0</v>
      </c>
      <c r="H19" s="2" t="s">
        <v>120</v>
      </c>
    </row>
    <row r="20">
      <c r="A20" s="2" t="s">
        <v>30</v>
      </c>
      <c r="B20" s="2" t="s">
        <v>23</v>
      </c>
      <c r="C20" s="2" t="s">
        <v>31</v>
      </c>
      <c r="D20" s="2" t="s">
        <v>103</v>
      </c>
      <c r="E20" s="2">
        <v>1.0</v>
      </c>
      <c r="F20" s="2">
        <v>4.0</v>
      </c>
      <c r="G20" s="2">
        <v>4.0</v>
      </c>
      <c r="H20" s="2" t="s">
        <v>120</v>
      </c>
    </row>
    <row r="21">
      <c r="A21" s="2" t="s">
        <v>30</v>
      </c>
      <c r="B21" s="2" t="s">
        <v>23</v>
      </c>
      <c r="C21" s="2" t="s">
        <v>31</v>
      </c>
      <c r="D21" s="2" t="s">
        <v>103</v>
      </c>
      <c r="E21" s="2">
        <v>3.0</v>
      </c>
      <c r="F21" s="2">
        <v>8.0</v>
      </c>
      <c r="G21" s="2">
        <v>4.0</v>
      </c>
      <c r="H21" s="2" t="s">
        <v>125</v>
      </c>
    </row>
    <row r="22">
      <c r="A22" s="2" t="s">
        <v>30</v>
      </c>
      <c r="B22" s="2" t="s">
        <v>23</v>
      </c>
      <c r="C22" s="2" t="s">
        <v>31</v>
      </c>
      <c r="D22" s="2" t="s">
        <v>103</v>
      </c>
      <c r="E22" s="2">
        <v>3.0</v>
      </c>
      <c r="F22" s="2">
        <v>12.0</v>
      </c>
      <c r="G22" s="2">
        <v>4.0</v>
      </c>
      <c r="H22" s="2" t="s">
        <v>123</v>
      </c>
    </row>
    <row r="23">
      <c r="A23" s="2" t="s">
        <v>30</v>
      </c>
      <c r="B23" s="2" t="s">
        <v>23</v>
      </c>
      <c r="C23" s="2" t="s">
        <v>31</v>
      </c>
      <c r="D23" s="2" t="s">
        <v>103</v>
      </c>
      <c r="E23" s="2">
        <v>6.0</v>
      </c>
      <c r="F23" s="2">
        <v>16.0</v>
      </c>
      <c r="G23" s="2">
        <v>4.0</v>
      </c>
      <c r="H23" s="2" t="s">
        <v>126</v>
      </c>
    </row>
    <row r="24">
      <c r="A24" s="2" t="s">
        <v>30</v>
      </c>
      <c r="B24" s="2" t="s">
        <v>23</v>
      </c>
      <c r="C24" s="2" t="s">
        <v>31</v>
      </c>
      <c r="D24" s="2" t="s">
        <v>103</v>
      </c>
      <c r="E24" s="2">
        <v>6.0</v>
      </c>
      <c r="F24" s="2">
        <v>20.0</v>
      </c>
      <c r="G24" s="2">
        <v>4.0</v>
      </c>
      <c r="H24" s="2" t="s">
        <v>127</v>
      </c>
    </row>
    <row r="25">
      <c r="A25" s="2" t="s">
        <v>30</v>
      </c>
      <c r="B25" s="2" t="s">
        <v>23</v>
      </c>
      <c r="C25" s="2" t="s">
        <v>31</v>
      </c>
      <c r="D25" s="2" t="s">
        <v>103</v>
      </c>
      <c r="E25" s="2">
        <v>10.0</v>
      </c>
      <c r="F25" s="2">
        <v>24.0</v>
      </c>
      <c r="G25" s="2">
        <v>4.0</v>
      </c>
      <c r="H25" s="2" t="s">
        <v>128</v>
      </c>
    </row>
    <row r="26">
      <c r="A26" s="2" t="s">
        <v>32</v>
      </c>
      <c r="B26" s="2" t="s">
        <v>23</v>
      </c>
      <c r="C26" s="2" t="s">
        <v>33</v>
      </c>
      <c r="D26" s="2" t="s">
        <v>103</v>
      </c>
      <c r="E26" s="2">
        <v>1.0</v>
      </c>
      <c r="F26" s="2">
        <v>0.0</v>
      </c>
      <c r="G26" s="2">
        <v>4.0</v>
      </c>
      <c r="H26" s="2" t="s">
        <v>120</v>
      </c>
    </row>
    <row r="27">
      <c r="A27" s="2" t="s">
        <v>32</v>
      </c>
      <c r="B27" s="2" t="s">
        <v>23</v>
      </c>
      <c r="C27" s="2" t="s">
        <v>33</v>
      </c>
      <c r="D27" s="2" t="s">
        <v>103</v>
      </c>
      <c r="E27" s="2">
        <v>1.0</v>
      </c>
      <c r="F27" s="2">
        <v>4.0</v>
      </c>
      <c r="G27" s="2">
        <v>4.0</v>
      </c>
      <c r="H27" s="2" t="s">
        <v>120</v>
      </c>
    </row>
    <row r="28">
      <c r="A28" s="2" t="s">
        <v>32</v>
      </c>
      <c r="B28" s="2" t="s">
        <v>23</v>
      </c>
      <c r="C28" s="2" t="s">
        <v>33</v>
      </c>
      <c r="D28" s="2" t="s">
        <v>103</v>
      </c>
      <c r="E28" s="2">
        <v>3.0</v>
      </c>
      <c r="F28" s="2">
        <v>8.0</v>
      </c>
      <c r="G28" s="2">
        <v>4.0</v>
      </c>
      <c r="H28" s="2" t="s">
        <v>125</v>
      </c>
    </row>
    <row r="29">
      <c r="A29" s="2" t="s">
        <v>32</v>
      </c>
      <c r="B29" s="2" t="s">
        <v>23</v>
      </c>
      <c r="C29" s="2" t="s">
        <v>33</v>
      </c>
      <c r="D29" s="2" t="s">
        <v>103</v>
      </c>
      <c r="E29" s="2">
        <v>3.0</v>
      </c>
      <c r="F29" s="2">
        <v>12.0</v>
      </c>
      <c r="G29" s="2">
        <v>4.0</v>
      </c>
      <c r="H29" s="2" t="s">
        <v>123</v>
      </c>
    </row>
    <row r="30">
      <c r="A30" s="2" t="s">
        <v>32</v>
      </c>
      <c r="B30" s="2" t="s">
        <v>23</v>
      </c>
      <c r="C30" s="2" t="s">
        <v>33</v>
      </c>
      <c r="D30" s="2" t="s">
        <v>103</v>
      </c>
      <c r="E30" s="2">
        <v>6.0</v>
      </c>
      <c r="F30" s="2">
        <v>16.0</v>
      </c>
      <c r="G30" s="2">
        <v>4.0</v>
      </c>
      <c r="H30" s="2" t="s">
        <v>126</v>
      </c>
    </row>
    <row r="31">
      <c r="A31" s="2" t="s">
        <v>32</v>
      </c>
      <c r="B31" s="2" t="s">
        <v>23</v>
      </c>
      <c r="C31" s="2" t="s">
        <v>33</v>
      </c>
      <c r="D31" s="2" t="s">
        <v>103</v>
      </c>
      <c r="E31" s="2">
        <v>6.0</v>
      </c>
      <c r="F31" s="2">
        <v>20.0</v>
      </c>
      <c r="G31" s="2">
        <v>4.0</v>
      </c>
      <c r="H31" s="2" t="s">
        <v>127</v>
      </c>
    </row>
    <row r="32">
      <c r="A32" s="2" t="s">
        <v>32</v>
      </c>
      <c r="B32" s="2" t="s">
        <v>23</v>
      </c>
      <c r="C32" s="2" t="s">
        <v>33</v>
      </c>
      <c r="D32" s="2" t="s">
        <v>103</v>
      </c>
      <c r="E32" s="2">
        <v>10.0</v>
      </c>
      <c r="F32" s="2">
        <v>24.0</v>
      </c>
      <c r="G32" s="2">
        <v>4.0</v>
      </c>
      <c r="H32" s="2" t="s">
        <v>129</v>
      </c>
    </row>
    <row r="33">
      <c r="A33" s="2" t="s">
        <v>34</v>
      </c>
      <c r="B33" s="2" t="s">
        <v>23</v>
      </c>
      <c r="C33" s="2" t="s">
        <v>18</v>
      </c>
      <c r="E33" s="2">
        <v>0.0</v>
      </c>
    </row>
    <row r="34">
      <c r="A34" s="2" t="s">
        <v>35</v>
      </c>
      <c r="B34" s="2" t="s">
        <v>36</v>
      </c>
      <c r="C34" s="2" t="s">
        <v>24</v>
      </c>
      <c r="D34" s="2" t="s">
        <v>103</v>
      </c>
      <c r="E34" s="2">
        <v>1.0</v>
      </c>
      <c r="F34" s="2">
        <v>0.0</v>
      </c>
      <c r="G34" s="2">
        <v>4.0</v>
      </c>
      <c r="H34" s="2" t="s">
        <v>120</v>
      </c>
    </row>
    <row r="35">
      <c r="A35" s="2" t="s">
        <v>35</v>
      </c>
      <c r="B35" s="2" t="s">
        <v>36</v>
      </c>
      <c r="C35" s="2" t="s">
        <v>24</v>
      </c>
      <c r="D35" s="2" t="s">
        <v>103</v>
      </c>
      <c r="E35" s="2">
        <v>1.0</v>
      </c>
      <c r="F35" s="2">
        <v>4.0</v>
      </c>
      <c r="G35" s="2">
        <v>4.0</v>
      </c>
      <c r="H35" s="2" t="s">
        <v>121</v>
      </c>
    </row>
    <row r="36">
      <c r="A36" s="2" t="s">
        <v>35</v>
      </c>
      <c r="B36" s="2" t="s">
        <v>36</v>
      </c>
      <c r="C36" s="2" t="s">
        <v>24</v>
      </c>
      <c r="D36" s="2" t="s">
        <v>103</v>
      </c>
      <c r="E36" s="2">
        <v>3.0</v>
      </c>
      <c r="F36" s="2">
        <v>8.0</v>
      </c>
      <c r="G36" s="2">
        <v>4.0</v>
      </c>
      <c r="H36" s="2" t="s">
        <v>130</v>
      </c>
    </row>
    <row r="37">
      <c r="A37" s="2" t="s">
        <v>37</v>
      </c>
      <c r="B37" s="2" t="s">
        <v>36</v>
      </c>
      <c r="C37" s="2" t="s">
        <v>29</v>
      </c>
      <c r="D37" s="2" t="s">
        <v>103</v>
      </c>
      <c r="E37" s="2">
        <v>1.0</v>
      </c>
      <c r="F37" s="2">
        <v>0.0</v>
      </c>
      <c r="G37" s="2">
        <v>4.0</v>
      </c>
      <c r="H37" s="2" t="s">
        <v>120</v>
      </c>
    </row>
    <row r="38">
      <c r="A38" s="2" t="s">
        <v>37</v>
      </c>
      <c r="B38" s="2" t="s">
        <v>36</v>
      </c>
      <c r="C38" s="2" t="s">
        <v>29</v>
      </c>
      <c r="D38" s="2" t="s">
        <v>103</v>
      </c>
      <c r="E38" s="2">
        <v>1.0</v>
      </c>
      <c r="F38" s="2">
        <v>4.0</v>
      </c>
      <c r="G38" s="2">
        <v>4.0</v>
      </c>
      <c r="H38" s="2" t="s">
        <v>120</v>
      </c>
    </row>
    <row r="39">
      <c r="A39" s="2" t="s">
        <v>37</v>
      </c>
      <c r="B39" s="2" t="s">
        <v>36</v>
      </c>
      <c r="C39" s="2" t="s">
        <v>29</v>
      </c>
      <c r="D39" s="2" t="s">
        <v>103</v>
      </c>
      <c r="E39" s="2">
        <v>3.0</v>
      </c>
      <c r="F39" s="2">
        <v>8.0</v>
      </c>
      <c r="G39" s="2">
        <v>4.0</v>
      </c>
      <c r="H39" s="2" t="s">
        <v>123</v>
      </c>
    </row>
    <row r="40">
      <c r="A40" s="2" t="s">
        <v>37</v>
      </c>
      <c r="B40" s="2" t="s">
        <v>36</v>
      </c>
      <c r="C40" s="2" t="s">
        <v>29</v>
      </c>
      <c r="D40" s="2" t="s">
        <v>103</v>
      </c>
      <c r="E40" s="2">
        <v>6.0</v>
      </c>
      <c r="F40" s="2">
        <v>24.0</v>
      </c>
      <c r="G40" s="2">
        <v>4.0</v>
      </c>
      <c r="H40" s="2" t="s">
        <v>124</v>
      </c>
    </row>
    <row r="41">
      <c r="A41" s="2" t="s">
        <v>38</v>
      </c>
      <c r="B41" s="2" t="s">
        <v>36</v>
      </c>
      <c r="C41" s="2" t="s">
        <v>31</v>
      </c>
      <c r="D41" s="2" t="s">
        <v>103</v>
      </c>
      <c r="E41" s="2">
        <v>1.0</v>
      </c>
      <c r="F41" s="2">
        <v>0.0</v>
      </c>
      <c r="G41" s="2">
        <v>4.0</v>
      </c>
      <c r="H41" s="2" t="s">
        <v>120</v>
      </c>
    </row>
    <row r="42">
      <c r="A42" s="2" t="s">
        <v>38</v>
      </c>
      <c r="B42" s="2" t="s">
        <v>36</v>
      </c>
      <c r="C42" s="2" t="s">
        <v>31</v>
      </c>
      <c r="D42" s="2" t="s">
        <v>103</v>
      </c>
      <c r="E42" s="2">
        <v>1.0</v>
      </c>
      <c r="F42" s="2">
        <v>4.0</v>
      </c>
      <c r="G42" s="2">
        <v>4.0</v>
      </c>
      <c r="H42" s="2" t="s">
        <v>120</v>
      </c>
    </row>
    <row r="43">
      <c r="A43" s="2" t="s">
        <v>38</v>
      </c>
      <c r="B43" s="2" t="s">
        <v>36</v>
      </c>
      <c r="C43" s="2" t="s">
        <v>31</v>
      </c>
      <c r="D43" s="2" t="s">
        <v>103</v>
      </c>
      <c r="E43" s="2">
        <v>3.0</v>
      </c>
      <c r="F43" s="2">
        <v>8.0</v>
      </c>
      <c r="G43" s="2">
        <v>4.0</v>
      </c>
      <c r="H43" s="2" t="s">
        <v>125</v>
      </c>
    </row>
    <row r="44">
      <c r="A44" s="2" t="s">
        <v>38</v>
      </c>
      <c r="B44" s="2" t="s">
        <v>36</v>
      </c>
      <c r="C44" s="2" t="s">
        <v>31</v>
      </c>
      <c r="D44" s="2" t="s">
        <v>103</v>
      </c>
      <c r="E44" s="2">
        <v>3.0</v>
      </c>
      <c r="F44" s="2">
        <v>12.0</v>
      </c>
      <c r="G44" s="2">
        <v>4.0</v>
      </c>
      <c r="H44" s="2" t="s">
        <v>123</v>
      </c>
    </row>
    <row r="45">
      <c r="A45" s="2" t="s">
        <v>38</v>
      </c>
      <c r="B45" s="2" t="s">
        <v>36</v>
      </c>
      <c r="C45" s="2" t="s">
        <v>31</v>
      </c>
      <c r="D45" s="2" t="s">
        <v>103</v>
      </c>
      <c r="E45" s="2">
        <v>6.0</v>
      </c>
      <c r="F45" s="2">
        <v>16.0</v>
      </c>
      <c r="G45" s="2">
        <v>4.0</v>
      </c>
      <c r="H45" s="2" t="s">
        <v>126</v>
      </c>
    </row>
    <row r="46">
      <c r="A46" s="2" t="s">
        <v>38</v>
      </c>
      <c r="B46" s="2" t="s">
        <v>36</v>
      </c>
      <c r="C46" s="2" t="s">
        <v>31</v>
      </c>
      <c r="D46" s="2" t="s">
        <v>103</v>
      </c>
      <c r="E46" s="2">
        <v>6.0</v>
      </c>
      <c r="F46" s="2">
        <v>20.0</v>
      </c>
      <c r="G46" s="2">
        <v>4.0</v>
      </c>
      <c r="H46" s="2" t="s">
        <v>127</v>
      </c>
    </row>
    <row r="47">
      <c r="A47" s="2" t="s">
        <v>38</v>
      </c>
      <c r="B47" s="2" t="s">
        <v>36</v>
      </c>
      <c r="C47" s="2" t="s">
        <v>31</v>
      </c>
      <c r="D47" s="2" t="s">
        <v>103</v>
      </c>
      <c r="E47" s="2">
        <v>10.0</v>
      </c>
      <c r="F47" s="2">
        <v>24.0</v>
      </c>
      <c r="G47" s="2">
        <v>4.0</v>
      </c>
      <c r="H47" s="2" t="s">
        <v>128</v>
      </c>
    </row>
    <row r="48">
      <c r="A48" s="2" t="s">
        <v>39</v>
      </c>
      <c r="B48" s="2" t="s">
        <v>36</v>
      </c>
      <c r="C48" s="2" t="s">
        <v>33</v>
      </c>
      <c r="D48" s="2" t="s">
        <v>103</v>
      </c>
      <c r="E48" s="2">
        <v>1.0</v>
      </c>
      <c r="F48" s="2">
        <v>0.0</v>
      </c>
      <c r="G48" s="2">
        <v>4.0</v>
      </c>
      <c r="H48" s="2" t="s">
        <v>120</v>
      </c>
    </row>
    <row r="49">
      <c r="A49" s="2" t="s">
        <v>39</v>
      </c>
      <c r="B49" s="2" t="s">
        <v>36</v>
      </c>
      <c r="C49" s="2" t="s">
        <v>33</v>
      </c>
      <c r="D49" s="2" t="s">
        <v>103</v>
      </c>
      <c r="E49" s="2">
        <v>1.0</v>
      </c>
      <c r="F49" s="2">
        <v>4.0</v>
      </c>
      <c r="G49" s="2">
        <v>4.0</v>
      </c>
      <c r="H49" s="2" t="s">
        <v>120</v>
      </c>
    </row>
    <row r="50">
      <c r="A50" s="2" t="s">
        <v>39</v>
      </c>
      <c r="B50" s="2" t="s">
        <v>36</v>
      </c>
      <c r="C50" s="2" t="s">
        <v>33</v>
      </c>
      <c r="D50" s="2" t="s">
        <v>103</v>
      </c>
      <c r="E50" s="2">
        <v>3.0</v>
      </c>
      <c r="F50" s="2">
        <v>8.0</v>
      </c>
      <c r="G50" s="2">
        <v>4.0</v>
      </c>
      <c r="H50" s="2" t="s">
        <v>125</v>
      </c>
    </row>
    <row r="51">
      <c r="A51" s="2" t="s">
        <v>39</v>
      </c>
      <c r="B51" s="2" t="s">
        <v>36</v>
      </c>
      <c r="C51" s="2" t="s">
        <v>33</v>
      </c>
      <c r="D51" s="2" t="s">
        <v>103</v>
      </c>
      <c r="E51" s="2">
        <v>3.0</v>
      </c>
      <c r="F51" s="2">
        <v>12.0</v>
      </c>
      <c r="G51" s="2">
        <v>4.0</v>
      </c>
      <c r="H51" s="2" t="s">
        <v>123</v>
      </c>
    </row>
    <row r="52">
      <c r="A52" s="2" t="s">
        <v>39</v>
      </c>
      <c r="B52" s="2" t="s">
        <v>36</v>
      </c>
      <c r="C52" s="2" t="s">
        <v>33</v>
      </c>
      <c r="D52" s="2" t="s">
        <v>103</v>
      </c>
      <c r="E52" s="2">
        <v>6.0</v>
      </c>
      <c r="F52" s="2">
        <v>16.0</v>
      </c>
      <c r="G52" s="2">
        <v>4.0</v>
      </c>
      <c r="H52" s="2" t="s">
        <v>126</v>
      </c>
    </row>
    <row r="53">
      <c r="A53" s="2" t="s">
        <v>39</v>
      </c>
      <c r="B53" s="2" t="s">
        <v>36</v>
      </c>
      <c r="C53" s="2" t="s">
        <v>33</v>
      </c>
      <c r="D53" s="2" t="s">
        <v>103</v>
      </c>
      <c r="E53" s="2">
        <v>6.0</v>
      </c>
      <c r="F53" s="2">
        <v>20.0</v>
      </c>
      <c r="G53" s="2">
        <v>4.0</v>
      </c>
      <c r="H53" s="2" t="s">
        <v>127</v>
      </c>
    </row>
    <row r="54">
      <c r="A54" s="2" t="s">
        <v>39</v>
      </c>
      <c r="B54" s="2" t="s">
        <v>36</v>
      </c>
      <c r="C54" s="2" t="s">
        <v>33</v>
      </c>
      <c r="D54" s="2" t="s">
        <v>103</v>
      </c>
      <c r="E54" s="2">
        <v>10.0</v>
      </c>
      <c r="F54" s="2">
        <v>24.0</v>
      </c>
      <c r="G54" s="2">
        <v>4.0</v>
      </c>
      <c r="H54" s="2" t="s">
        <v>128</v>
      </c>
    </row>
    <row r="55">
      <c r="A55" s="2" t="s">
        <v>40</v>
      </c>
      <c r="B55" s="2" t="s">
        <v>36</v>
      </c>
      <c r="C55" s="2" t="s">
        <v>18</v>
      </c>
      <c r="E55" s="2">
        <v>0.0</v>
      </c>
    </row>
    <row r="56">
      <c r="A56" s="2" t="s">
        <v>41</v>
      </c>
      <c r="B56" s="2" t="s">
        <v>42</v>
      </c>
      <c r="C56" s="2" t="s">
        <v>12</v>
      </c>
      <c r="D56" s="2" t="s">
        <v>99</v>
      </c>
      <c r="E56" s="2">
        <v>400.0</v>
      </c>
      <c r="F56" s="2">
        <v>0.0</v>
      </c>
      <c r="G56" s="2">
        <v>4.0</v>
      </c>
      <c r="H56" s="2" t="s">
        <v>131</v>
      </c>
    </row>
    <row r="57">
      <c r="A57" s="2" t="s">
        <v>44</v>
      </c>
      <c r="B57" s="2" t="s">
        <v>42</v>
      </c>
      <c r="C57" s="2" t="s">
        <v>18</v>
      </c>
      <c r="E57" s="2">
        <v>0.0</v>
      </c>
    </row>
    <row r="58">
      <c r="A58" s="2" t="s">
        <v>45</v>
      </c>
      <c r="B58" s="2" t="s">
        <v>46</v>
      </c>
      <c r="C58" s="2" t="s">
        <v>12</v>
      </c>
      <c r="D58" s="2" t="s">
        <v>99</v>
      </c>
      <c r="E58" s="2">
        <v>400.0</v>
      </c>
      <c r="F58" s="2">
        <v>0.0</v>
      </c>
      <c r="G58" s="2">
        <v>4.0</v>
      </c>
      <c r="H58" s="2" t="s">
        <v>131</v>
      </c>
    </row>
    <row r="59">
      <c r="A59" s="2" t="s">
        <v>47</v>
      </c>
      <c r="B59" s="2" t="s">
        <v>46</v>
      </c>
      <c r="C59" s="2" t="s">
        <v>18</v>
      </c>
      <c r="E59" s="2">
        <v>0.0</v>
      </c>
    </row>
    <row r="60">
      <c r="A60" s="2" t="s">
        <v>48</v>
      </c>
      <c r="B60" s="2" t="s">
        <v>49</v>
      </c>
      <c r="C60" s="2" t="s">
        <v>12</v>
      </c>
      <c r="D60" s="2" t="s">
        <v>103</v>
      </c>
      <c r="E60" s="2">
        <v>10.0</v>
      </c>
      <c r="F60" s="2">
        <v>0.0</v>
      </c>
      <c r="G60" s="2">
        <v>2.0</v>
      </c>
      <c r="H60" s="2" t="s">
        <v>132</v>
      </c>
    </row>
    <row r="61">
      <c r="A61" s="2" t="s">
        <v>51</v>
      </c>
      <c r="B61" s="2" t="s">
        <v>49</v>
      </c>
      <c r="C61" s="2" t="s">
        <v>18</v>
      </c>
      <c r="E61" s="2">
        <v>0.0</v>
      </c>
    </row>
    <row r="62">
      <c r="A62" s="2" t="s">
        <v>52</v>
      </c>
      <c r="B62" s="2" t="s">
        <v>53</v>
      </c>
      <c r="C62" s="2" t="s">
        <v>12</v>
      </c>
      <c r="D62" s="2" t="s">
        <v>99</v>
      </c>
      <c r="E62" s="2">
        <v>400.0</v>
      </c>
      <c r="F62" s="2">
        <v>0.0</v>
      </c>
      <c r="G62" s="2">
        <v>4.0</v>
      </c>
      <c r="H62" s="2" t="s">
        <v>133</v>
      </c>
    </row>
    <row r="63">
      <c r="A63" s="2" t="s">
        <v>55</v>
      </c>
      <c r="B63" s="2" t="s">
        <v>53</v>
      </c>
      <c r="C63" s="2" t="s">
        <v>18</v>
      </c>
      <c r="E63" s="2">
        <v>0.0</v>
      </c>
    </row>
    <row r="64">
      <c r="A64" s="2" t="s">
        <v>56</v>
      </c>
      <c r="B64" s="2" t="s">
        <v>57</v>
      </c>
      <c r="C64" s="2" t="s">
        <v>12</v>
      </c>
      <c r="D64" s="2" t="s">
        <v>103</v>
      </c>
      <c r="E64" s="2">
        <v>60.0</v>
      </c>
      <c r="F64" s="2">
        <v>0.0</v>
      </c>
      <c r="G64" s="2">
        <v>4.0</v>
      </c>
      <c r="H64" s="2" t="s">
        <v>134</v>
      </c>
    </row>
    <row r="65">
      <c r="A65" s="2" t="s">
        <v>60</v>
      </c>
      <c r="B65" s="2" t="s">
        <v>57</v>
      </c>
      <c r="C65" s="2" t="s">
        <v>18</v>
      </c>
      <c r="E65" s="2">
        <v>0.0</v>
      </c>
    </row>
    <row r="66">
      <c r="A66" s="2" t="s">
        <v>61</v>
      </c>
      <c r="B66" s="2" t="s">
        <v>62</v>
      </c>
      <c r="C66" s="2" t="s">
        <v>12</v>
      </c>
      <c r="D66" s="2" t="s">
        <v>103</v>
      </c>
      <c r="E66" s="2">
        <v>60.0</v>
      </c>
      <c r="F66" s="2">
        <v>0.0</v>
      </c>
      <c r="G66" s="2">
        <v>4.0</v>
      </c>
      <c r="H66" s="2" t="s">
        <v>134</v>
      </c>
    </row>
    <row r="67">
      <c r="A67" s="2" t="s">
        <v>63</v>
      </c>
      <c r="B67" s="2" t="s">
        <v>62</v>
      </c>
      <c r="C67" s="2" t="s">
        <v>18</v>
      </c>
      <c r="E67" s="2">
        <v>0.0</v>
      </c>
    </row>
    <row r="68">
      <c r="A68" s="2" t="s">
        <v>64</v>
      </c>
      <c r="B68" s="2" t="s">
        <v>65</v>
      </c>
      <c r="C68" s="2" t="s">
        <v>66</v>
      </c>
      <c r="D68" s="2" t="s">
        <v>99</v>
      </c>
      <c r="E68" s="2">
        <v>105.0</v>
      </c>
      <c r="F68" s="2">
        <v>0.0</v>
      </c>
      <c r="G68" s="2">
        <v>4.0</v>
      </c>
      <c r="H68" s="2" t="s">
        <v>135</v>
      </c>
    </row>
    <row r="69">
      <c r="A69" s="2" t="s">
        <v>68</v>
      </c>
      <c r="B69" s="2" t="s">
        <v>65</v>
      </c>
      <c r="C69" s="2" t="s">
        <v>69</v>
      </c>
      <c r="D69" s="2" t="s">
        <v>99</v>
      </c>
      <c r="E69" s="2">
        <v>225.0</v>
      </c>
      <c r="F69" s="2">
        <v>0.0</v>
      </c>
      <c r="G69" s="2">
        <v>4.0</v>
      </c>
      <c r="H69" s="2" t="s">
        <v>136</v>
      </c>
    </row>
    <row r="70">
      <c r="A70" s="2" t="s">
        <v>70</v>
      </c>
      <c r="B70" s="2" t="s">
        <v>65</v>
      </c>
      <c r="C70" s="2" t="s">
        <v>18</v>
      </c>
      <c r="E70" s="2">
        <v>0.0</v>
      </c>
    </row>
    <row r="71">
      <c r="A71" s="2" t="s">
        <v>71</v>
      </c>
      <c r="B71" s="2"/>
      <c r="C71" s="2" t="s">
        <v>72</v>
      </c>
      <c r="D71" s="2" t="s">
        <v>103</v>
      </c>
      <c r="E71" s="2">
        <v>0.5</v>
      </c>
      <c r="F71" s="2">
        <v>0.0</v>
      </c>
      <c r="G71" s="2">
        <v>13.0</v>
      </c>
      <c r="H71" s="2" t="s">
        <v>137</v>
      </c>
    </row>
    <row r="72">
      <c r="A72" s="2" t="s">
        <v>74</v>
      </c>
      <c r="B72" s="2"/>
      <c r="C72" s="2" t="s">
        <v>75</v>
      </c>
      <c r="E72" s="2">
        <v>0.0</v>
      </c>
    </row>
    <row r="73">
      <c r="A73" s="2" t="s">
        <v>76</v>
      </c>
      <c r="B73" s="2"/>
      <c r="C73" s="2" t="s">
        <v>66</v>
      </c>
      <c r="D73" s="2" t="s">
        <v>103</v>
      </c>
      <c r="E73" s="2">
        <v>0.5</v>
      </c>
      <c r="F73" s="2">
        <v>0.0</v>
      </c>
      <c r="G73" s="2">
        <v>13.0</v>
      </c>
      <c r="H73" s="2" t="s">
        <v>137</v>
      </c>
    </row>
    <row r="74">
      <c r="A74" s="2" t="s">
        <v>77</v>
      </c>
      <c r="B74" s="2"/>
      <c r="C74" s="2" t="s">
        <v>69</v>
      </c>
      <c r="D74" s="2" t="s">
        <v>103</v>
      </c>
      <c r="E74" s="2">
        <v>0.5</v>
      </c>
      <c r="F74" s="2">
        <v>0.0</v>
      </c>
      <c r="G74" s="2">
        <v>13.0</v>
      </c>
      <c r="H74" s="2" t="s">
        <v>137</v>
      </c>
    </row>
    <row r="75">
      <c r="A75" s="2" t="s">
        <v>78</v>
      </c>
      <c r="B75" s="2"/>
      <c r="C75" s="2" t="s">
        <v>18</v>
      </c>
      <c r="E75" s="2">
        <v>0.0</v>
      </c>
    </row>
    <row r="76">
      <c r="A76" s="3" t="s">
        <v>79</v>
      </c>
      <c r="B76" s="3" t="s">
        <v>80</v>
      </c>
      <c r="C76" s="3" t="s">
        <v>12</v>
      </c>
      <c r="D76" s="3" t="s">
        <v>99</v>
      </c>
      <c r="E76" s="5">
        <v>700.0</v>
      </c>
      <c r="F76" s="5">
        <v>0.0</v>
      </c>
      <c r="G76" s="5">
        <v>4.0</v>
      </c>
      <c r="H76" s="3" t="s">
        <v>138</v>
      </c>
      <c r="I76" s="4"/>
      <c r="J76" s="4"/>
      <c r="K76" s="4"/>
      <c r="L76" s="4"/>
      <c r="M76" s="4"/>
      <c r="N76" s="4"/>
      <c r="O76" s="4"/>
      <c r="P76" s="4"/>
      <c r="Q76" s="4"/>
      <c r="R76" s="4"/>
      <c r="S76" s="4"/>
      <c r="T76" s="4"/>
      <c r="U76" s="4"/>
      <c r="V76" s="4"/>
      <c r="W76" s="4"/>
      <c r="X76" s="4"/>
      <c r="Y76" s="4"/>
      <c r="Z76" s="4"/>
      <c r="AA76" s="4"/>
      <c r="AB76" s="4"/>
      <c r="AC76" s="4"/>
      <c r="AD76" s="4"/>
      <c r="AE76" s="4"/>
      <c r="AF76" s="4"/>
      <c r="AG76" s="4"/>
    </row>
    <row r="77">
      <c r="A77" s="3" t="s">
        <v>79</v>
      </c>
      <c r="B77" s="3" t="s">
        <v>80</v>
      </c>
      <c r="C77" s="3" t="s">
        <v>12</v>
      </c>
      <c r="D77" s="3" t="s">
        <v>99</v>
      </c>
      <c r="E77" s="5">
        <v>1400.0</v>
      </c>
      <c r="F77" s="5">
        <v>12.0</v>
      </c>
      <c r="G77" s="5">
        <v>4.0</v>
      </c>
      <c r="H77" s="3" t="s">
        <v>139</v>
      </c>
      <c r="I77" s="4"/>
      <c r="J77" s="4"/>
      <c r="K77" s="4"/>
      <c r="L77" s="4"/>
      <c r="M77" s="4"/>
      <c r="N77" s="4"/>
      <c r="O77" s="4"/>
      <c r="P77" s="4"/>
      <c r="Q77" s="4"/>
      <c r="R77" s="4"/>
      <c r="S77" s="4"/>
      <c r="T77" s="4"/>
      <c r="U77" s="4"/>
      <c r="V77" s="4"/>
      <c r="W77" s="4"/>
      <c r="X77" s="4"/>
      <c r="Y77" s="4"/>
      <c r="Z77" s="4"/>
      <c r="AA77" s="4"/>
      <c r="AB77" s="4"/>
      <c r="AC77" s="4"/>
      <c r="AD77" s="4"/>
      <c r="AE77" s="4"/>
      <c r="AF77" s="4"/>
      <c r="AG77" s="4"/>
    </row>
    <row r="78">
      <c r="A78" s="3" t="s">
        <v>82</v>
      </c>
      <c r="B78" s="3" t="s">
        <v>80</v>
      </c>
      <c r="C78" s="3" t="s">
        <v>18</v>
      </c>
      <c r="D78" s="3"/>
      <c r="E78" s="5">
        <v>0.0</v>
      </c>
      <c r="F78" s="3"/>
      <c r="G78" s="3"/>
      <c r="H78" s="3"/>
      <c r="I78" s="4"/>
      <c r="J78" s="4"/>
      <c r="K78" s="4"/>
      <c r="L78" s="4"/>
      <c r="M78" s="4"/>
      <c r="N78" s="4"/>
      <c r="O78" s="4"/>
      <c r="P78" s="4"/>
      <c r="Q78" s="4"/>
      <c r="R78" s="4"/>
      <c r="S78" s="4"/>
      <c r="T78" s="4"/>
      <c r="U78" s="4"/>
      <c r="V78" s="4"/>
      <c r="W78" s="4"/>
      <c r="X78" s="4"/>
      <c r="Y78" s="4"/>
      <c r="Z78" s="4"/>
      <c r="AA78" s="4"/>
      <c r="AB78" s="4"/>
      <c r="AC78" s="4"/>
      <c r="AD78" s="4"/>
      <c r="AE78" s="4"/>
      <c r="AF78" s="4"/>
      <c r="AG78" s="4"/>
    </row>
    <row r="79">
      <c r="A79" s="2" t="s">
        <v>83</v>
      </c>
      <c r="B79" s="2"/>
      <c r="C79" s="2" t="s">
        <v>72</v>
      </c>
      <c r="D79" s="2" t="s">
        <v>103</v>
      </c>
      <c r="E79" s="2">
        <v>0.5</v>
      </c>
      <c r="F79" s="2">
        <v>0.0</v>
      </c>
      <c r="G79" s="2">
        <v>13.0</v>
      </c>
      <c r="H79" s="2" t="s">
        <v>137</v>
      </c>
    </row>
    <row r="80">
      <c r="A80" s="2" t="s">
        <v>85</v>
      </c>
      <c r="B80" s="2"/>
      <c r="C80" s="2" t="s">
        <v>75</v>
      </c>
      <c r="E80" s="2">
        <v>0.0</v>
      </c>
    </row>
    <row r="81">
      <c r="A81" s="2" t="s">
        <v>86</v>
      </c>
      <c r="B81" s="2"/>
      <c r="C81" s="2" t="s">
        <v>29</v>
      </c>
      <c r="D81" s="2" t="s">
        <v>103</v>
      </c>
      <c r="E81" s="2">
        <v>0.5</v>
      </c>
      <c r="F81" s="2">
        <v>0.0</v>
      </c>
      <c r="G81" s="2">
        <v>13.0</v>
      </c>
      <c r="H81" s="2" t="s">
        <v>137</v>
      </c>
    </row>
    <row r="82">
      <c r="A82" s="2" t="s">
        <v>87</v>
      </c>
      <c r="B82" s="2"/>
      <c r="C82" s="2" t="s">
        <v>33</v>
      </c>
      <c r="D82" s="2" t="s">
        <v>103</v>
      </c>
      <c r="E82" s="2">
        <v>1.0</v>
      </c>
      <c r="F82" s="2">
        <v>0.0</v>
      </c>
      <c r="G82" s="2">
        <v>13.0</v>
      </c>
      <c r="H82" s="2" t="s">
        <v>140</v>
      </c>
    </row>
    <row r="83">
      <c r="A83" s="2" t="s">
        <v>141</v>
      </c>
      <c r="B83" s="2"/>
      <c r="C83" s="2" t="s">
        <v>89</v>
      </c>
      <c r="E83" s="2">
        <v>0.0</v>
      </c>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row r="1003">
      <c r="A1003" s="8"/>
    </row>
    <row r="1004">
      <c r="A1004" s="8"/>
    </row>
    <row r="1005">
      <c r="A1005" s="8"/>
    </row>
    <row r="1006">
      <c r="A1006" s="8"/>
    </row>
    <row r="1007">
      <c r="A1007" s="8"/>
    </row>
    <row r="1008">
      <c r="A1008" s="8"/>
    </row>
    <row r="1009">
      <c r="A1009" s="8"/>
    </row>
    <row r="1010">
      <c r="A1010" s="8"/>
    </row>
    <row r="1011">
      <c r="A1011" s="8"/>
    </row>
    <row r="1012">
      <c r="A1012" s="8"/>
    </row>
    <row r="1013">
      <c r="A1013" s="8"/>
    </row>
    <row r="1014">
      <c r="A1014" s="8"/>
    </row>
    <row r="1015">
      <c r="A1015" s="8"/>
    </row>
    <row r="1016">
      <c r="A1016" s="8"/>
    </row>
    <row r="1017">
      <c r="A1017" s="8"/>
    </row>
    <row r="1018">
      <c r="A1018" s="8"/>
    </row>
    <row r="1019">
      <c r="A1019" s="8"/>
    </row>
    <row r="1020">
      <c r="A1020" s="8"/>
    </row>
    <row r="1021">
      <c r="A1021" s="8"/>
    </row>
    <row r="1022">
      <c r="A1022" s="8"/>
    </row>
    <row r="1023">
      <c r="A1023" s="8"/>
    </row>
    <row r="1024">
      <c r="A1024" s="8"/>
    </row>
    <row r="1025">
      <c r="A1025" s="8"/>
    </row>
    <row r="1026">
      <c r="A1026" s="8"/>
    </row>
    <row r="1027">
      <c r="A1027" s="8"/>
    </row>
    <row r="1028">
      <c r="A1028" s="8"/>
    </row>
    <row r="1029">
      <c r="A1029" s="8"/>
    </row>
    <row r="1030">
      <c r="A1030" s="8"/>
    </row>
    <row r="1031">
      <c r="A1031" s="8"/>
    </row>
    <row r="1032">
      <c r="A1032" s="8"/>
    </row>
    <row r="1033">
      <c r="A1033" s="8"/>
    </row>
    <row r="1034">
      <c r="A1034" s="8"/>
    </row>
    <row r="1035">
      <c r="A1035" s="8"/>
    </row>
    <row r="1036">
      <c r="A1036" s="8"/>
    </row>
    <row r="1037">
      <c r="A1037" s="8"/>
    </row>
    <row r="1038">
      <c r="A1038" s="8"/>
    </row>
    <row r="1039">
      <c r="A1039" s="8"/>
      <c r="B1039" s="8"/>
      <c r="C1039" s="8"/>
    </row>
    <row r="1040">
      <c r="A1040" s="8"/>
      <c r="B1040" s="8"/>
      <c r="C1040" s="8"/>
    </row>
    <row r="1041">
      <c r="A1041" s="8"/>
      <c r="B1041" s="8"/>
      <c r="C1041" s="8"/>
    </row>
    <row r="1042">
      <c r="A1042" s="8"/>
      <c r="B1042" s="8"/>
      <c r="C1042" s="8"/>
    </row>
    <row r="1043">
      <c r="A1043" s="8"/>
      <c r="B1043" s="8"/>
      <c r="C1043" s="8"/>
    </row>
  </sheetData>
  <dataValidations>
    <dataValidation type="list" allowBlank="1" showErrorMessage="1" sqref="B1039:C1043">
      <formula1>"PLA,INT"</formula1>
    </dataValidation>
    <dataValidation type="custom" allowBlank="1" showDropDown="1" showInputMessage="1" showErrorMessage="1" prompt="Enter a value that satisfies the formula: =REGEXMATCH( TO_TEXT(A2), &quot;^[0-9]{4}_[A-Za-z]{3}_[A-Za-z]{3}_[0-9]{2}$&quot; )  " sqref="A2:A1043">
      <formula1>REGEXMATCH( TO_TEXT(A2), "^[0-9]{4}_[A-Za-z]{3}_[A-Za-z]{3}_[0-9]{2}$" )  </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142</v>
      </c>
      <c r="E1" s="1" t="s">
        <v>143</v>
      </c>
      <c r="F1" s="1" t="s">
        <v>144</v>
      </c>
      <c r="G1" s="1" t="s">
        <v>145</v>
      </c>
      <c r="H1" s="9" t="s">
        <v>146</v>
      </c>
      <c r="I1" s="1" t="s">
        <v>147</v>
      </c>
      <c r="J1" s="1" t="s">
        <v>148</v>
      </c>
      <c r="K1" s="1" t="s">
        <v>149</v>
      </c>
      <c r="L1" s="1" t="s">
        <v>150</v>
      </c>
      <c r="M1" s="1" t="s">
        <v>151</v>
      </c>
    </row>
    <row r="2">
      <c r="A2" s="2" t="s">
        <v>10</v>
      </c>
      <c r="B2" s="2" t="s">
        <v>11</v>
      </c>
      <c r="C2" s="2" t="s">
        <v>12</v>
      </c>
      <c r="D2" s="2">
        <v>71.1</v>
      </c>
      <c r="E2" s="2">
        <v>7.9</v>
      </c>
      <c r="F2" s="2">
        <v>290.0</v>
      </c>
      <c r="G2" s="2">
        <v>209.0</v>
      </c>
      <c r="H2" s="6">
        <v>62.5</v>
      </c>
      <c r="I2" s="2">
        <v>275.0</v>
      </c>
      <c r="J2" s="2">
        <v>173.0</v>
      </c>
      <c r="K2" s="2">
        <v>326.0</v>
      </c>
      <c r="L2" s="8">
        <f t="shared" ref="L2:L42" si="1">SUM(M2 -(J2+K2))</f>
        <v>0</v>
      </c>
      <c r="M2" s="8">
        <f t="shared" ref="M2:M42" si="2">SUM(G2 +F2)</f>
        <v>499</v>
      </c>
    </row>
    <row r="3">
      <c r="A3" s="2" t="s">
        <v>17</v>
      </c>
      <c r="B3" s="2" t="s">
        <v>11</v>
      </c>
      <c r="C3" s="2" t="s">
        <v>18</v>
      </c>
      <c r="D3" s="2">
        <v>72.1</v>
      </c>
      <c r="E3" s="2">
        <v>7.8</v>
      </c>
      <c r="F3" s="2">
        <v>255.0</v>
      </c>
      <c r="G3" s="2">
        <v>230.0</v>
      </c>
      <c r="H3" s="6">
        <v>60.8</v>
      </c>
      <c r="I3" s="2">
        <v>263.0</v>
      </c>
      <c r="J3" s="2">
        <v>157.0</v>
      </c>
      <c r="K3" s="2">
        <v>328.0</v>
      </c>
      <c r="L3" s="8">
        <f t="shared" si="1"/>
        <v>0</v>
      </c>
      <c r="M3" s="8">
        <f t="shared" si="2"/>
        <v>485</v>
      </c>
    </row>
    <row r="4">
      <c r="A4" s="2" t="s">
        <v>19</v>
      </c>
      <c r="B4" s="2" t="s">
        <v>20</v>
      </c>
      <c r="C4" s="2" t="s">
        <v>12</v>
      </c>
      <c r="D4" s="2">
        <v>71.6</v>
      </c>
      <c r="E4" s="2">
        <v>7.8</v>
      </c>
      <c r="F4" s="2">
        <v>288.0</v>
      </c>
      <c r="G4" s="2">
        <v>210.0</v>
      </c>
      <c r="H4" s="7">
        <v>66.5</v>
      </c>
      <c r="I4" s="2">
        <v>269.0</v>
      </c>
      <c r="J4" s="2">
        <v>165.0</v>
      </c>
      <c r="K4" s="2">
        <v>333.0</v>
      </c>
      <c r="L4" s="8">
        <f t="shared" si="1"/>
        <v>0</v>
      </c>
      <c r="M4" s="8">
        <f t="shared" si="2"/>
        <v>498</v>
      </c>
    </row>
    <row r="5">
      <c r="A5" s="2" t="s">
        <v>21</v>
      </c>
      <c r="B5" s="2" t="s">
        <v>20</v>
      </c>
      <c r="C5" s="2" t="s">
        <v>18</v>
      </c>
      <c r="D5" s="2">
        <v>71.8</v>
      </c>
      <c r="E5" s="2">
        <v>7.4</v>
      </c>
      <c r="F5" s="2">
        <v>285.0</v>
      </c>
      <c r="G5" s="2">
        <v>192.0</v>
      </c>
      <c r="H5" s="7">
        <v>66.0</v>
      </c>
      <c r="I5" s="2">
        <v>266.0</v>
      </c>
      <c r="J5" s="2">
        <v>156.0</v>
      </c>
      <c r="K5" s="2">
        <v>321.0</v>
      </c>
      <c r="L5" s="8">
        <f t="shared" si="1"/>
        <v>0</v>
      </c>
      <c r="M5" s="8">
        <f t="shared" si="2"/>
        <v>477</v>
      </c>
    </row>
    <row r="6">
      <c r="A6" s="2" t="s">
        <v>22</v>
      </c>
      <c r="B6" s="2" t="s">
        <v>23</v>
      </c>
      <c r="C6" s="2" t="s">
        <v>24</v>
      </c>
      <c r="D6" s="2">
        <v>70.6</v>
      </c>
      <c r="E6" s="2">
        <v>7.4</v>
      </c>
      <c r="F6" s="2">
        <v>269.0</v>
      </c>
      <c r="G6" s="2">
        <v>274.0</v>
      </c>
      <c r="H6" s="6">
        <v>51.0</v>
      </c>
      <c r="I6" s="2">
        <v>452.0</v>
      </c>
      <c r="K6" s="2">
        <v>362.0</v>
      </c>
      <c r="L6" s="8">
        <f t="shared" si="1"/>
        <v>181</v>
      </c>
      <c r="M6" s="8">
        <f t="shared" si="2"/>
        <v>543</v>
      </c>
    </row>
    <row r="7">
      <c r="A7" s="2" t="s">
        <v>28</v>
      </c>
      <c r="B7" s="2" t="s">
        <v>23</v>
      </c>
      <c r="C7" s="2" t="s">
        <v>29</v>
      </c>
      <c r="D7" s="2">
        <v>70.6</v>
      </c>
      <c r="E7" s="2">
        <v>7.4</v>
      </c>
      <c r="F7" s="2">
        <v>269.0</v>
      </c>
      <c r="G7" s="2">
        <v>274.0</v>
      </c>
      <c r="H7" s="6" t="s">
        <v>152</v>
      </c>
      <c r="I7" s="2">
        <v>452.0</v>
      </c>
      <c r="J7" s="2">
        <v>178.0</v>
      </c>
      <c r="L7" s="8">
        <f t="shared" si="1"/>
        <v>365</v>
      </c>
      <c r="M7" s="8">
        <f t="shared" si="2"/>
        <v>543</v>
      </c>
    </row>
    <row r="8">
      <c r="A8" s="2" t="s">
        <v>30</v>
      </c>
      <c r="B8" s="2" t="s">
        <v>23</v>
      </c>
      <c r="C8" s="2" t="s">
        <v>31</v>
      </c>
      <c r="D8" s="2">
        <v>70.6</v>
      </c>
      <c r="E8" s="2">
        <v>7.5</v>
      </c>
      <c r="F8" s="2">
        <v>284.0</v>
      </c>
      <c r="G8" s="2">
        <v>263.0</v>
      </c>
      <c r="H8" s="6">
        <v>52.0</v>
      </c>
      <c r="I8" s="2">
        <v>438.0</v>
      </c>
      <c r="K8" s="2">
        <v>365.0</v>
      </c>
      <c r="L8" s="8">
        <f t="shared" si="1"/>
        <v>182</v>
      </c>
      <c r="M8" s="8">
        <f t="shared" si="2"/>
        <v>547</v>
      </c>
    </row>
    <row r="9">
      <c r="A9" s="2" t="s">
        <v>32</v>
      </c>
      <c r="B9" s="2" t="s">
        <v>23</v>
      </c>
      <c r="C9" s="2" t="s">
        <v>33</v>
      </c>
      <c r="D9" s="2">
        <v>70.6</v>
      </c>
      <c r="E9" s="2">
        <v>7.5</v>
      </c>
      <c r="F9" s="2">
        <v>284.0</v>
      </c>
      <c r="G9" s="2">
        <v>263.0</v>
      </c>
      <c r="H9" s="6" t="s">
        <v>153</v>
      </c>
      <c r="I9" s="2">
        <v>438.0</v>
      </c>
      <c r="J9" s="2">
        <v>181.0</v>
      </c>
      <c r="L9" s="8">
        <f t="shared" si="1"/>
        <v>366</v>
      </c>
      <c r="M9" s="8">
        <f t="shared" si="2"/>
        <v>547</v>
      </c>
    </row>
    <row r="10">
      <c r="A10" s="2" t="s">
        <v>34</v>
      </c>
      <c r="B10" s="2" t="s">
        <v>23</v>
      </c>
      <c r="C10" s="2" t="s">
        <v>18</v>
      </c>
      <c r="D10" s="2">
        <v>70.8</v>
      </c>
      <c r="E10" s="2">
        <v>7.4</v>
      </c>
      <c r="F10" s="2">
        <v>290.0</v>
      </c>
      <c r="G10" s="2">
        <v>258.0</v>
      </c>
      <c r="H10" s="7">
        <v>52.0</v>
      </c>
      <c r="I10" s="2">
        <v>446.0</v>
      </c>
      <c r="J10" s="2">
        <v>178.0</v>
      </c>
      <c r="K10" s="2">
        <v>368.0</v>
      </c>
      <c r="L10" s="8">
        <f t="shared" si="1"/>
        <v>2</v>
      </c>
      <c r="M10" s="8">
        <f t="shared" si="2"/>
        <v>548</v>
      </c>
    </row>
    <row r="11">
      <c r="A11" s="2" t="s">
        <v>35</v>
      </c>
      <c r="B11" s="2" t="s">
        <v>36</v>
      </c>
      <c r="C11" s="2" t="s">
        <v>24</v>
      </c>
      <c r="D11" s="2">
        <v>70.4</v>
      </c>
      <c r="E11" s="2">
        <v>7.0</v>
      </c>
      <c r="F11" s="2">
        <v>284.0</v>
      </c>
      <c r="G11" s="2">
        <v>263.0</v>
      </c>
      <c r="H11" s="7">
        <v>55.0</v>
      </c>
      <c r="I11" s="2">
        <v>440.0</v>
      </c>
      <c r="K11" s="2">
        <v>391.0</v>
      </c>
      <c r="L11" s="8">
        <f t="shared" si="1"/>
        <v>156</v>
      </c>
      <c r="M11" s="8">
        <f t="shared" si="2"/>
        <v>547</v>
      </c>
    </row>
    <row r="12">
      <c r="A12" s="2" t="s">
        <v>37</v>
      </c>
      <c r="B12" s="2" t="s">
        <v>36</v>
      </c>
      <c r="C12" s="2" t="s">
        <v>29</v>
      </c>
      <c r="D12" s="2">
        <v>70.4</v>
      </c>
      <c r="E12" s="2">
        <v>7.0</v>
      </c>
      <c r="F12" s="2">
        <v>284.0</v>
      </c>
      <c r="G12" s="2">
        <v>263.0</v>
      </c>
      <c r="H12" s="6" t="s">
        <v>152</v>
      </c>
      <c r="I12" s="2">
        <v>440.0</v>
      </c>
      <c r="J12" s="2">
        <v>156.0</v>
      </c>
      <c r="L12" s="8">
        <f t="shared" si="1"/>
        <v>391</v>
      </c>
      <c r="M12" s="8">
        <f t="shared" si="2"/>
        <v>547</v>
      </c>
    </row>
    <row r="13">
      <c r="A13" s="2" t="s">
        <v>38</v>
      </c>
      <c r="B13" s="2" t="s">
        <v>36</v>
      </c>
      <c r="C13" s="2" t="s">
        <v>31</v>
      </c>
      <c r="D13" s="2">
        <v>70.0</v>
      </c>
      <c r="E13" s="2">
        <v>7.7</v>
      </c>
      <c r="F13" s="2">
        <v>292.0</v>
      </c>
      <c r="G13" s="2">
        <v>263.0</v>
      </c>
      <c r="H13" s="6">
        <v>58.0</v>
      </c>
      <c r="I13" s="2">
        <v>442.0</v>
      </c>
      <c r="K13" s="2">
        <v>378.0</v>
      </c>
      <c r="L13" s="8">
        <f t="shared" si="1"/>
        <v>177</v>
      </c>
      <c r="M13" s="8">
        <f t="shared" si="2"/>
        <v>555</v>
      </c>
    </row>
    <row r="14">
      <c r="A14" s="2" t="s">
        <v>39</v>
      </c>
      <c r="B14" s="2" t="s">
        <v>36</v>
      </c>
      <c r="C14" s="2" t="s">
        <v>33</v>
      </c>
      <c r="D14" s="2">
        <v>70.0</v>
      </c>
      <c r="E14" s="2">
        <v>7.7</v>
      </c>
      <c r="F14" s="2">
        <v>292.0</v>
      </c>
      <c r="G14" s="2">
        <v>263.0</v>
      </c>
      <c r="H14" s="6" t="s">
        <v>153</v>
      </c>
      <c r="I14" s="2">
        <v>442.0</v>
      </c>
      <c r="J14" s="2">
        <v>176.0</v>
      </c>
      <c r="L14" s="8">
        <f t="shared" si="1"/>
        <v>379</v>
      </c>
      <c r="M14" s="8">
        <f t="shared" si="2"/>
        <v>555</v>
      </c>
    </row>
    <row r="15">
      <c r="A15" s="2" t="s">
        <v>40</v>
      </c>
      <c r="B15" s="2" t="s">
        <v>36</v>
      </c>
      <c r="C15" s="2" t="s">
        <v>18</v>
      </c>
      <c r="D15" s="2">
        <v>69.8</v>
      </c>
      <c r="E15" s="2">
        <v>7.7</v>
      </c>
      <c r="F15" s="2">
        <v>287.0</v>
      </c>
      <c r="G15" s="2">
        <v>258.0</v>
      </c>
      <c r="H15" s="6">
        <v>56.0</v>
      </c>
      <c r="I15" s="2">
        <v>443.0</v>
      </c>
      <c r="J15" s="2">
        <v>167.0</v>
      </c>
      <c r="K15" s="2">
        <v>376.0</v>
      </c>
      <c r="L15" s="8">
        <f t="shared" si="1"/>
        <v>2</v>
      </c>
      <c r="M15" s="8">
        <f t="shared" si="2"/>
        <v>545</v>
      </c>
    </row>
    <row r="16">
      <c r="A16" s="2" t="s">
        <v>41</v>
      </c>
      <c r="B16" s="2" t="s">
        <v>42</v>
      </c>
      <c r="C16" s="2" t="s">
        <v>12</v>
      </c>
      <c r="D16" s="2">
        <v>75.0</v>
      </c>
      <c r="E16" s="2">
        <v>7.9</v>
      </c>
      <c r="F16" s="2">
        <v>299.0</v>
      </c>
      <c r="G16" s="2">
        <v>207.0</v>
      </c>
      <c r="H16" s="6">
        <v>88.3</v>
      </c>
      <c r="K16" s="2">
        <v>266.0</v>
      </c>
      <c r="L16" s="8">
        <f t="shared" si="1"/>
        <v>240</v>
      </c>
      <c r="M16" s="8">
        <f t="shared" si="2"/>
        <v>506</v>
      </c>
    </row>
    <row r="17">
      <c r="A17" s="2" t="s">
        <v>44</v>
      </c>
      <c r="B17" s="2" t="s">
        <v>42</v>
      </c>
      <c r="C17" s="2" t="s">
        <v>18</v>
      </c>
      <c r="D17" s="2">
        <v>74.4</v>
      </c>
      <c r="E17" s="2">
        <v>8.0</v>
      </c>
      <c r="F17" s="2">
        <v>287.0</v>
      </c>
      <c r="G17" s="2">
        <v>219.0</v>
      </c>
      <c r="H17" s="6">
        <v>88.4</v>
      </c>
      <c r="K17" s="2">
        <v>288.0</v>
      </c>
      <c r="L17" s="8">
        <f t="shared" si="1"/>
        <v>218</v>
      </c>
      <c r="M17" s="8">
        <f t="shared" si="2"/>
        <v>506</v>
      </c>
    </row>
    <row r="18">
      <c r="A18" s="2" t="s">
        <v>45</v>
      </c>
      <c r="B18" s="2" t="s">
        <v>46</v>
      </c>
      <c r="C18" s="2" t="s">
        <v>12</v>
      </c>
      <c r="D18" s="2">
        <v>71.5</v>
      </c>
      <c r="E18" s="2">
        <v>7.9</v>
      </c>
      <c r="F18" s="2">
        <v>163.0</v>
      </c>
      <c r="G18" s="2">
        <v>159.0</v>
      </c>
      <c r="H18" s="6">
        <v>91.6</v>
      </c>
      <c r="I18" s="2">
        <v>322.0</v>
      </c>
      <c r="K18" s="2">
        <v>155.0</v>
      </c>
      <c r="L18" s="8">
        <f t="shared" si="1"/>
        <v>167</v>
      </c>
      <c r="M18" s="8">
        <f t="shared" si="2"/>
        <v>322</v>
      </c>
    </row>
    <row r="19">
      <c r="A19" s="2" t="s">
        <v>47</v>
      </c>
      <c r="B19" s="2" t="s">
        <v>46</v>
      </c>
      <c r="C19" s="2" t="s">
        <v>18</v>
      </c>
      <c r="D19" s="2">
        <v>72.5</v>
      </c>
      <c r="E19" s="2">
        <v>7.9</v>
      </c>
      <c r="F19" s="2">
        <v>181.0</v>
      </c>
      <c r="G19" s="2">
        <v>144.0</v>
      </c>
      <c r="H19" s="6">
        <v>89.7</v>
      </c>
      <c r="I19" s="2">
        <v>325.0</v>
      </c>
      <c r="K19" s="2">
        <v>183.0</v>
      </c>
      <c r="L19" s="8">
        <f t="shared" si="1"/>
        <v>142</v>
      </c>
      <c r="M19" s="8">
        <f t="shared" si="2"/>
        <v>325</v>
      </c>
    </row>
    <row r="20">
      <c r="A20" s="2" t="s">
        <v>48</v>
      </c>
      <c r="B20" s="2" t="s">
        <v>49</v>
      </c>
      <c r="C20" s="2" t="s">
        <v>12</v>
      </c>
      <c r="D20" s="2">
        <v>71.4</v>
      </c>
      <c r="E20" s="2">
        <v>7.9</v>
      </c>
      <c r="F20" s="2">
        <v>443.0</v>
      </c>
      <c r="G20" s="2">
        <v>416.0</v>
      </c>
      <c r="H20" s="5"/>
      <c r="I20" s="2">
        <v>528.0</v>
      </c>
      <c r="J20" s="2">
        <v>267.0</v>
      </c>
      <c r="K20" s="2">
        <v>592.0</v>
      </c>
      <c r="L20" s="8">
        <f t="shared" si="1"/>
        <v>0</v>
      </c>
      <c r="M20" s="8">
        <f t="shared" si="2"/>
        <v>859</v>
      </c>
    </row>
    <row r="21">
      <c r="A21" s="2" t="s">
        <v>51</v>
      </c>
      <c r="B21" s="2" t="s">
        <v>49</v>
      </c>
      <c r="C21" s="2" t="s">
        <v>18</v>
      </c>
      <c r="D21" s="2">
        <v>71.0</v>
      </c>
      <c r="E21" s="2">
        <v>7.8</v>
      </c>
      <c r="F21" s="2">
        <v>464.0</v>
      </c>
      <c r="G21" s="2">
        <v>411.0</v>
      </c>
      <c r="H21" s="5"/>
      <c r="I21" s="2">
        <v>544.0</v>
      </c>
      <c r="J21" s="2">
        <v>275.0</v>
      </c>
      <c r="K21" s="2">
        <v>600.0</v>
      </c>
      <c r="L21" s="8">
        <f t="shared" si="1"/>
        <v>0</v>
      </c>
      <c r="M21" s="8">
        <f t="shared" si="2"/>
        <v>875</v>
      </c>
    </row>
    <row r="22">
      <c r="A22" s="2" t="s">
        <v>52</v>
      </c>
      <c r="B22" s="2" t="s">
        <v>53</v>
      </c>
      <c r="C22" s="2" t="s">
        <v>12</v>
      </c>
      <c r="D22" s="2">
        <v>72.7</v>
      </c>
      <c r="E22" s="2">
        <v>7.8</v>
      </c>
      <c r="F22" s="2">
        <v>600.0</v>
      </c>
      <c r="G22" s="2">
        <v>457.0</v>
      </c>
      <c r="H22" s="6">
        <v>79.9</v>
      </c>
      <c r="K22" s="2">
        <v>712.0</v>
      </c>
      <c r="L22" s="8">
        <f t="shared" si="1"/>
        <v>345</v>
      </c>
      <c r="M22" s="8">
        <f t="shared" si="2"/>
        <v>1057</v>
      </c>
    </row>
    <row r="23">
      <c r="A23" s="2" t="s">
        <v>55</v>
      </c>
      <c r="B23" s="2" t="s">
        <v>53</v>
      </c>
      <c r="C23" s="2" t="s">
        <v>18</v>
      </c>
      <c r="D23" s="2">
        <v>73.3</v>
      </c>
      <c r="E23" s="2">
        <v>8.0</v>
      </c>
      <c r="F23" s="2">
        <v>631.0</v>
      </c>
      <c r="G23" s="2">
        <v>441.0</v>
      </c>
      <c r="H23" s="6">
        <v>77.8</v>
      </c>
      <c r="K23" s="2">
        <v>685.0</v>
      </c>
      <c r="L23" s="8">
        <f t="shared" si="1"/>
        <v>387</v>
      </c>
      <c r="M23" s="8">
        <f t="shared" si="2"/>
        <v>1072</v>
      </c>
    </row>
    <row r="24">
      <c r="A24" s="2" t="s">
        <v>56</v>
      </c>
      <c r="B24" s="2" t="s">
        <v>57</v>
      </c>
      <c r="C24" s="2" t="s">
        <v>12</v>
      </c>
      <c r="D24" s="2">
        <v>71.0</v>
      </c>
      <c r="E24" s="2">
        <v>7.9</v>
      </c>
      <c r="F24" s="2">
        <v>236.0</v>
      </c>
      <c r="G24" s="2">
        <v>168.0</v>
      </c>
      <c r="H24" s="6">
        <v>90.6</v>
      </c>
      <c r="I24" s="2">
        <v>233.0</v>
      </c>
      <c r="K24" s="2">
        <v>293.0</v>
      </c>
      <c r="L24" s="8">
        <f t="shared" si="1"/>
        <v>111</v>
      </c>
      <c r="M24" s="8">
        <f t="shared" si="2"/>
        <v>404</v>
      </c>
    </row>
    <row r="25">
      <c r="A25" s="2" t="s">
        <v>60</v>
      </c>
      <c r="B25" s="2" t="s">
        <v>57</v>
      </c>
      <c r="C25" s="2" t="s">
        <v>18</v>
      </c>
      <c r="D25" s="2">
        <v>70.3</v>
      </c>
      <c r="E25" s="2">
        <v>8.4</v>
      </c>
      <c r="F25" s="2">
        <v>247.0</v>
      </c>
      <c r="G25" s="2">
        <v>162.0</v>
      </c>
      <c r="H25" s="6">
        <v>89.7</v>
      </c>
      <c r="I25" s="2">
        <v>234.0</v>
      </c>
      <c r="K25" s="2">
        <v>292.0</v>
      </c>
      <c r="L25" s="8">
        <f t="shared" si="1"/>
        <v>117</v>
      </c>
      <c r="M25" s="8">
        <f t="shared" si="2"/>
        <v>409</v>
      </c>
    </row>
    <row r="26">
      <c r="A26" s="2" t="s">
        <v>61</v>
      </c>
      <c r="B26" s="2" t="s">
        <v>62</v>
      </c>
      <c r="C26" s="2" t="s">
        <v>12</v>
      </c>
      <c r="D26" s="2">
        <v>71.1</v>
      </c>
      <c r="E26" s="2">
        <v>7.5</v>
      </c>
      <c r="F26" s="2">
        <v>231.0</v>
      </c>
      <c r="G26" s="2">
        <v>176.0</v>
      </c>
      <c r="H26" s="6">
        <v>89.7</v>
      </c>
      <c r="I26" s="2">
        <v>209.0</v>
      </c>
      <c r="K26" s="2">
        <v>271.0</v>
      </c>
      <c r="L26" s="8">
        <f t="shared" si="1"/>
        <v>136</v>
      </c>
      <c r="M26" s="8">
        <f t="shared" si="2"/>
        <v>407</v>
      </c>
    </row>
    <row r="27">
      <c r="A27" s="2" t="s">
        <v>63</v>
      </c>
      <c r="B27" s="2" t="s">
        <v>62</v>
      </c>
      <c r="C27" s="2" t="s">
        <v>18</v>
      </c>
      <c r="D27" s="2">
        <v>70.7</v>
      </c>
      <c r="E27" s="2">
        <v>7.9</v>
      </c>
      <c r="F27" s="2">
        <v>225.0</v>
      </c>
      <c r="G27" s="2">
        <v>174.0</v>
      </c>
      <c r="H27" s="6">
        <v>87.0</v>
      </c>
      <c r="I27" s="2">
        <v>209.0</v>
      </c>
      <c r="K27" s="2">
        <v>263.0</v>
      </c>
      <c r="L27" s="8">
        <f t="shared" si="1"/>
        <v>136</v>
      </c>
      <c r="M27" s="8">
        <f t="shared" si="2"/>
        <v>399</v>
      </c>
    </row>
    <row r="28">
      <c r="A28" s="2" t="s">
        <v>64</v>
      </c>
      <c r="B28" s="2" t="s">
        <v>65</v>
      </c>
      <c r="C28" s="2" t="s">
        <v>66</v>
      </c>
      <c r="D28" s="2">
        <v>70.3</v>
      </c>
      <c r="E28" s="2">
        <v>7.0</v>
      </c>
      <c r="F28" s="2">
        <v>271.0</v>
      </c>
      <c r="G28" s="2">
        <v>24.0</v>
      </c>
      <c r="H28" s="6">
        <v>81.2</v>
      </c>
      <c r="J28" s="2">
        <v>57.0</v>
      </c>
      <c r="K28" s="2">
        <f>SUM(111 +103)</f>
        <v>214</v>
      </c>
      <c r="L28" s="8">
        <f t="shared" si="1"/>
        <v>24</v>
      </c>
      <c r="M28" s="8">
        <f t="shared" si="2"/>
        <v>295</v>
      </c>
    </row>
    <row r="29">
      <c r="A29" s="2" t="s">
        <v>68</v>
      </c>
      <c r="B29" s="2" t="s">
        <v>65</v>
      </c>
      <c r="C29" s="2" t="s">
        <v>69</v>
      </c>
      <c r="D29" s="2">
        <v>71.3</v>
      </c>
      <c r="E29" s="2">
        <v>7.1</v>
      </c>
      <c r="F29" s="2">
        <v>260.0</v>
      </c>
      <c r="G29" s="2">
        <v>36.0</v>
      </c>
      <c r="H29" s="6">
        <v>80.8</v>
      </c>
      <c r="J29" s="2">
        <v>100.0</v>
      </c>
      <c r="K29" s="2">
        <v>160.0</v>
      </c>
      <c r="L29" s="8">
        <f t="shared" si="1"/>
        <v>36</v>
      </c>
      <c r="M29" s="8">
        <f t="shared" si="2"/>
        <v>296</v>
      </c>
    </row>
    <row r="30">
      <c r="A30" s="2" t="s">
        <v>70</v>
      </c>
      <c r="B30" s="2" t="s">
        <v>65</v>
      </c>
      <c r="C30" s="2" t="s">
        <v>18</v>
      </c>
      <c r="D30" s="2">
        <v>69.5</v>
      </c>
      <c r="E30" s="2">
        <v>7.5</v>
      </c>
      <c r="F30" s="2">
        <v>266.0</v>
      </c>
      <c r="G30" s="2">
        <v>21.0</v>
      </c>
      <c r="H30" s="6">
        <v>80.8</v>
      </c>
      <c r="J30" s="2">
        <v>79.0</v>
      </c>
      <c r="K30" s="2">
        <f>SUM(134 +53)</f>
        <v>187</v>
      </c>
      <c r="L30" s="8">
        <f t="shared" si="1"/>
        <v>21</v>
      </c>
      <c r="M30" s="8">
        <f t="shared" si="2"/>
        <v>287</v>
      </c>
    </row>
    <row r="31">
      <c r="A31" s="2" t="s">
        <v>71</v>
      </c>
      <c r="B31" s="2"/>
      <c r="C31" s="2" t="s">
        <v>72</v>
      </c>
      <c r="D31" s="2">
        <v>72.0</v>
      </c>
      <c r="E31" s="2">
        <v>8.0</v>
      </c>
      <c r="F31" s="2">
        <v>358.0</v>
      </c>
      <c r="G31" s="2">
        <v>300.0</v>
      </c>
      <c r="H31" s="6">
        <v>87.8</v>
      </c>
      <c r="K31" s="2">
        <v>658.0</v>
      </c>
      <c r="L31" s="8">
        <f t="shared" si="1"/>
        <v>0</v>
      </c>
      <c r="M31" s="8">
        <f t="shared" si="2"/>
        <v>658</v>
      </c>
    </row>
    <row r="32">
      <c r="A32" s="2" t="s">
        <v>74</v>
      </c>
      <c r="B32" s="2"/>
      <c r="C32" s="2" t="s">
        <v>75</v>
      </c>
      <c r="D32" s="2">
        <v>72.3</v>
      </c>
      <c r="E32" s="2">
        <v>8.4</v>
      </c>
      <c r="F32" s="2">
        <v>242.0</v>
      </c>
      <c r="G32" s="2">
        <v>190.0</v>
      </c>
      <c r="H32" s="6">
        <v>87.5</v>
      </c>
      <c r="K32" s="2">
        <v>432.0</v>
      </c>
      <c r="L32" s="8">
        <f t="shared" si="1"/>
        <v>0</v>
      </c>
      <c r="M32" s="8">
        <f t="shared" si="2"/>
        <v>432</v>
      </c>
    </row>
    <row r="33">
      <c r="A33" s="2" t="s">
        <v>76</v>
      </c>
      <c r="B33" s="2"/>
      <c r="C33" s="2" t="s">
        <v>66</v>
      </c>
      <c r="D33" s="2">
        <v>73.1</v>
      </c>
      <c r="E33" s="2">
        <v>9.3</v>
      </c>
      <c r="F33" s="2">
        <v>165.0</v>
      </c>
      <c r="G33" s="2">
        <v>149.0</v>
      </c>
      <c r="H33" s="6">
        <v>87.9</v>
      </c>
      <c r="J33" s="2">
        <v>314.0</v>
      </c>
      <c r="L33" s="8">
        <f t="shared" si="1"/>
        <v>0</v>
      </c>
      <c r="M33" s="8">
        <f t="shared" si="2"/>
        <v>314</v>
      </c>
    </row>
    <row r="34">
      <c r="A34" s="2" t="s">
        <v>77</v>
      </c>
      <c r="B34" s="2"/>
      <c r="C34" s="2" t="s">
        <v>69</v>
      </c>
      <c r="D34" s="2">
        <v>73.5</v>
      </c>
      <c r="E34" s="2">
        <v>9.1</v>
      </c>
      <c r="F34" s="2">
        <v>175.0</v>
      </c>
      <c r="G34" s="2">
        <v>132.0</v>
      </c>
      <c r="H34" s="6">
        <v>88.6</v>
      </c>
      <c r="J34" s="2">
        <v>307.0</v>
      </c>
      <c r="L34" s="8">
        <f t="shared" si="1"/>
        <v>0</v>
      </c>
      <c r="M34" s="8">
        <f t="shared" si="2"/>
        <v>307</v>
      </c>
    </row>
    <row r="35">
      <c r="A35" s="2" t="s">
        <v>78</v>
      </c>
      <c r="B35" s="2"/>
      <c r="C35" s="2" t="s">
        <v>18</v>
      </c>
      <c r="D35" s="2">
        <v>71.9</v>
      </c>
      <c r="E35" s="2">
        <v>10.1</v>
      </c>
      <c r="F35" s="2">
        <v>248.0</v>
      </c>
      <c r="G35" s="2">
        <v>245.0</v>
      </c>
      <c r="H35" s="6">
        <v>84.6</v>
      </c>
      <c r="J35" s="2">
        <v>493.0</v>
      </c>
      <c r="L35" s="8">
        <f t="shared" si="1"/>
        <v>0</v>
      </c>
      <c r="M35" s="8">
        <f t="shared" si="2"/>
        <v>493</v>
      </c>
    </row>
    <row r="36">
      <c r="A36" s="3" t="s">
        <v>79</v>
      </c>
      <c r="B36" s="3" t="s">
        <v>80</v>
      </c>
      <c r="C36" s="3" t="s">
        <v>12</v>
      </c>
      <c r="D36" s="2">
        <v>74.3</v>
      </c>
      <c r="E36" s="2">
        <v>5.7</v>
      </c>
      <c r="F36" s="2">
        <v>325.0</v>
      </c>
      <c r="G36" s="2">
        <v>263.0</v>
      </c>
      <c r="H36" s="7">
        <v>74.5</v>
      </c>
      <c r="K36" s="2">
        <v>380.0</v>
      </c>
      <c r="L36" s="8">
        <f t="shared" si="1"/>
        <v>208</v>
      </c>
      <c r="M36" s="8">
        <f t="shared" si="2"/>
        <v>588</v>
      </c>
      <c r="N36" s="2" t="s">
        <v>154</v>
      </c>
    </row>
    <row r="37">
      <c r="A37" s="3" t="s">
        <v>82</v>
      </c>
      <c r="B37" s="3" t="s">
        <v>80</v>
      </c>
      <c r="C37" s="3" t="s">
        <v>18</v>
      </c>
      <c r="D37" s="2">
        <v>74.3</v>
      </c>
      <c r="E37" s="2">
        <v>5.8</v>
      </c>
      <c r="F37" s="2">
        <v>321.0</v>
      </c>
      <c r="G37" s="2">
        <v>273.0</v>
      </c>
      <c r="H37" s="7">
        <v>73.2</v>
      </c>
      <c r="K37" s="2">
        <v>396.0</v>
      </c>
      <c r="L37" s="8">
        <f t="shared" si="1"/>
        <v>198</v>
      </c>
      <c r="M37" s="8">
        <f t="shared" si="2"/>
        <v>594</v>
      </c>
      <c r="N37" s="2" t="s">
        <v>154</v>
      </c>
    </row>
    <row r="38">
      <c r="A38" s="2" t="s">
        <v>83</v>
      </c>
      <c r="B38" s="2">
        <v>3001.0</v>
      </c>
      <c r="C38" s="2" t="s">
        <v>72</v>
      </c>
      <c r="D38" s="2">
        <v>70.9</v>
      </c>
      <c r="F38" s="2">
        <v>419.25</v>
      </c>
      <c r="G38" s="2">
        <v>230.75</v>
      </c>
      <c r="H38" s="7">
        <v>88.9</v>
      </c>
      <c r="K38" s="2">
        <v>650.0</v>
      </c>
      <c r="L38" s="8">
        <f t="shared" si="1"/>
        <v>0</v>
      </c>
      <c r="M38" s="8">
        <f t="shared" si="2"/>
        <v>650</v>
      </c>
    </row>
    <row r="39">
      <c r="A39" s="2" t="s">
        <v>85</v>
      </c>
      <c r="B39" s="2">
        <v>3001.0</v>
      </c>
      <c r="C39" s="2" t="s">
        <v>75</v>
      </c>
      <c r="D39" s="2">
        <v>70.2</v>
      </c>
      <c r="F39" s="2">
        <v>259.031</v>
      </c>
      <c r="G39" s="2">
        <v>171.969</v>
      </c>
      <c r="H39" s="7">
        <v>89.6</v>
      </c>
      <c r="K39" s="2">
        <v>431.0</v>
      </c>
      <c r="L39" s="8">
        <f t="shared" si="1"/>
        <v>0</v>
      </c>
      <c r="M39" s="8">
        <f t="shared" si="2"/>
        <v>431</v>
      </c>
    </row>
    <row r="40">
      <c r="A40" s="2" t="s">
        <v>86</v>
      </c>
      <c r="B40" s="2">
        <v>3000.0</v>
      </c>
      <c r="C40" s="2" t="s">
        <v>29</v>
      </c>
      <c r="D40" s="2">
        <v>71.1</v>
      </c>
      <c r="F40" s="2">
        <v>142.035</v>
      </c>
      <c r="G40" s="2">
        <v>112.965</v>
      </c>
      <c r="H40" s="7">
        <v>80.0</v>
      </c>
      <c r="J40" s="2">
        <v>255.0</v>
      </c>
      <c r="L40" s="8">
        <f t="shared" si="1"/>
        <v>0</v>
      </c>
      <c r="M40" s="8">
        <f t="shared" si="2"/>
        <v>255</v>
      </c>
    </row>
    <row r="41">
      <c r="A41" s="2" t="s">
        <v>87</v>
      </c>
      <c r="B41" s="2">
        <v>3000.0</v>
      </c>
      <c r="C41" s="2" t="s">
        <v>33</v>
      </c>
      <c r="D41" s="2">
        <v>70.7</v>
      </c>
      <c r="F41" s="2">
        <v>144.969</v>
      </c>
      <c r="G41" s="2">
        <v>108.031</v>
      </c>
      <c r="H41" s="7">
        <v>82.6</v>
      </c>
      <c r="J41" s="2">
        <v>253.0</v>
      </c>
      <c r="L41" s="8">
        <f t="shared" si="1"/>
        <v>0</v>
      </c>
      <c r="M41" s="8">
        <f t="shared" si="2"/>
        <v>253</v>
      </c>
    </row>
    <row r="42">
      <c r="A42" s="2" t="s">
        <v>88</v>
      </c>
      <c r="B42" s="2">
        <v>3000.0</v>
      </c>
      <c r="C42" s="2" t="s">
        <v>89</v>
      </c>
      <c r="D42" s="2">
        <v>69.7</v>
      </c>
      <c r="F42" s="2">
        <v>189.912</v>
      </c>
      <c r="G42" s="2">
        <v>138.088</v>
      </c>
      <c r="H42" s="7">
        <v>83.5</v>
      </c>
      <c r="J42" s="2">
        <v>328.0</v>
      </c>
      <c r="L42" s="8">
        <f t="shared" si="1"/>
        <v>0</v>
      </c>
      <c r="M42" s="8">
        <f t="shared" si="2"/>
        <v>328</v>
      </c>
    </row>
    <row r="43">
      <c r="A43" s="8"/>
      <c r="H43" s="4"/>
    </row>
    <row r="44">
      <c r="A44" s="8"/>
      <c r="H44" s="4"/>
    </row>
    <row r="45">
      <c r="A45" s="8"/>
      <c r="H45" s="4"/>
    </row>
    <row r="46">
      <c r="A46" s="8"/>
      <c r="H46" s="4"/>
    </row>
    <row r="47">
      <c r="A47" s="8"/>
      <c r="H47" s="4"/>
    </row>
    <row r="48">
      <c r="A48" s="8"/>
      <c r="H48" s="4"/>
    </row>
    <row r="49">
      <c r="A49" s="8"/>
      <c r="H49" s="4"/>
    </row>
    <row r="50">
      <c r="A50" s="8"/>
      <c r="H50" s="4"/>
    </row>
    <row r="51">
      <c r="A51" s="8"/>
      <c r="H51" s="4"/>
    </row>
    <row r="52">
      <c r="A52" s="8"/>
      <c r="H52" s="4"/>
    </row>
    <row r="53">
      <c r="A53" s="8"/>
      <c r="H53" s="4"/>
    </row>
    <row r="54">
      <c r="A54" s="8"/>
      <c r="H54" s="4"/>
    </row>
    <row r="55">
      <c r="A55" s="8"/>
      <c r="H55" s="4"/>
    </row>
    <row r="56">
      <c r="A56" s="8"/>
      <c r="H56" s="4"/>
    </row>
    <row r="57">
      <c r="A57" s="8"/>
      <c r="H57" s="4"/>
    </row>
    <row r="58">
      <c r="A58" s="8"/>
      <c r="H58" s="4"/>
    </row>
    <row r="59">
      <c r="A59" s="8"/>
      <c r="H59" s="4"/>
    </row>
    <row r="60">
      <c r="A60" s="8"/>
      <c r="H60" s="4"/>
    </row>
    <row r="61">
      <c r="A61" s="8"/>
      <c r="H61" s="4"/>
    </row>
    <row r="62">
      <c r="A62" s="8"/>
      <c r="H62" s="4"/>
    </row>
    <row r="63">
      <c r="A63" s="8"/>
      <c r="H63" s="4"/>
    </row>
    <row r="64">
      <c r="A64" s="8"/>
      <c r="H64" s="4"/>
    </row>
    <row r="65">
      <c r="A65" s="8"/>
      <c r="H65" s="4"/>
    </row>
    <row r="66">
      <c r="A66" s="8"/>
      <c r="H66" s="4"/>
    </row>
    <row r="67">
      <c r="A67" s="8"/>
      <c r="H67" s="4"/>
    </row>
    <row r="68">
      <c r="A68" s="8"/>
      <c r="H68" s="4"/>
    </row>
    <row r="69">
      <c r="A69" s="8"/>
      <c r="H69" s="4"/>
    </row>
    <row r="70">
      <c r="A70" s="8"/>
      <c r="H70" s="4"/>
    </row>
    <row r="71">
      <c r="A71" s="8"/>
      <c r="H71" s="4"/>
    </row>
    <row r="72">
      <c r="A72" s="8"/>
      <c r="H72" s="4"/>
    </row>
    <row r="73">
      <c r="A73" s="8"/>
      <c r="H73" s="4"/>
    </row>
    <row r="74">
      <c r="A74" s="8"/>
      <c r="H74" s="4"/>
    </row>
    <row r="75">
      <c r="A75" s="8"/>
      <c r="H75" s="4"/>
    </row>
    <row r="76">
      <c r="A76" s="8"/>
      <c r="H76" s="4"/>
    </row>
    <row r="77">
      <c r="A77" s="8"/>
      <c r="H77" s="4"/>
    </row>
    <row r="78">
      <c r="A78" s="8"/>
      <c r="H78" s="4"/>
    </row>
    <row r="79">
      <c r="A79" s="8"/>
      <c r="H79" s="4"/>
    </row>
    <row r="80">
      <c r="A80" s="8"/>
      <c r="H80" s="4"/>
    </row>
    <row r="81">
      <c r="A81" s="8"/>
      <c r="H81" s="4"/>
    </row>
    <row r="82">
      <c r="A82" s="8"/>
      <c r="H82" s="4"/>
    </row>
    <row r="83">
      <c r="A83" s="8"/>
      <c r="H83" s="4"/>
    </row>
    <row r="84">
      <c r="A84" s="8"/>
      <c r="H84" s="4"/>
    </row>
    <row r="85">
      <c r="A85" s="8"/>
      <c r="H85" s="4"/>
    </row>
    <row r="86">
      <c r="A86" s="8"/>
      <c r="H86" s="4"/>
    </row>
    <row r="87">
      <c r="A87" s="8"/>
      <c r="H87" s="4"/>
    </row>
    <row r="88">
      <c r="A88" s="8"/>
      <c r="H88" s="4"/>
    </row>
    <row r="89">
      <c r="A89" s="8"/>
      <c r="H89" s="4"/>
    </row>
    <row r="90">
      <c r="A90" s="8"/>
      <c r="H90" s="4"/>
    </row>
    <row r="91">
      <c r="A91" s="8"/>
      <c r="H91" s="4"/>
    </row>
    <row r="92">
      <c r="A92" s="8"/>
      <c r="H92" s="4"/>
    </row>
    <row r="93">
      <c r="A93" s="8"/>
      <c r="H93" s="4"/>
    </row>
    <row r="94">
      <c r="A94" s="8"/>
      <c r="H94" s="4"/>
    </row>
    <row r="95">
      <c r="A95" s="8"/>
      <c r="H95" s="4"/>
    </row>
    <row r="96">
      <c r="A96" s="8"/>
      <c r="H96" s="4"/>
    </row>
    <row r="97">
      <c r="A97" s="8"/>
      <c r="H97" s="4"/>
    </row>
    <row r="98">
      <c r="A98" s="8"/>
      <c r="H98" s="4"/>
    </row>
    <row r="99">
      <c r="A99" s="8"/>
      <c r="H99" s="4"/>
    </row>
    <row r="100">
      <c r="A100" s="8"/>
      <c r="H100" s="4"/>
    </row>
    <row r="101">
      <c r="A101" s="8"/>
      <c r="H101" s="4"/>
    </row>
    <row r="102">
      <c r="A102" s="8"/>
      <c r="H102" s="4"/>
    </row>
    <row r="103">
      <c r="A103" s="8"/>
      <c r="H103" s="4"/>
    </row>
    <row r="104">
      <c r="A104" s="8"/>
      <c r="H104" s="4"/>
    </row>
    <row r="105">
      <c r="A105" s="8"/>
      <c r="H105" s="4"/>
    </row>
    <row r="106">
      <c r="A106" s="8"/>
      <c r="H106" s="4"/>
    </row>
    <row r="107">
      <c r="A107" s="8"/>
      <c r="H107" s="4"/>
    </row>
    <row r="108">
      <c r="A108" s="8"/>
      <c r="H108" s="4"/>
    </row>
    <row r="109">
      <c r="A109" s="8"/>
      <c r="H109" s="4"/>
    </row>
    <row r="110">
      <c r="A110" s="8"/>
      <c r="H110" s="4"/>
    </row>
    <row r="111">
      <c r="A111" s="8"/>
      <c r="H111" s="4"/>
    </row>
    <row r="112">
      <c r="A112" s="8"/>
      <c r="H112" s="4"/>
    </row>
    <row r="113">
      <c r="A113" s="8"/>
      <c r="H113" s="4"/>
    </row>
    <row r="114">
      <c r="A114" s="8"/>
      <c r="H114" s="4"/>
    </row>
    <row r="115">
      <c r="A115" s="8"/>
      <c r="H115" s="4"/>
    </row>
    <row r="116">
      <c r="A116" s="8"/>
      <c r="H116" s="4"/>
    </row>
    <row r="117">
      <c r="A117" s="8"/>
      <c r="H117" s="4"/>
    </row>
    <row r="118">
      <c r="A118" s="8"/>
      <c r="H118" s="4"/>
    </row>
    <row r="119">
      <c r="A119" s="8"/>
      <c r="H119" s="4"/>
    </row>
    <row r="120">
      <c r="A120" s="8"/>
      <c r="H120" s="4"/>
    </row>
    <row r="121">
      <c r="A121" s="8"/>
      <c r="H121" s="4"/>
    </row>
    <row r="122">
      <c r="A122" s="8"/>
      <c r="H122" s="4"/>
    </row>
    <row r="123">
      <c r="A123" s="8"/>
      <c r="H123" s="4"/>
    </row>
    <row r="124">
      <c r="A124" s="8"/>
      <c r="H124" s="4"/>
    </row>
    <row r="125">
      <c r="A125" s="8"/>
      <c r="H125" s="4"/>
    </row>
    <row r="126">
      <c r="A126" s="8"/>
      <c r="H126" s="4"/>
    </row>
    <row r="127">
      <c r="A127" s="8"/>
      <c r="H127" s="4"/>
    </row>
    <row r="128">
      <c r="A128" s="8"/>
      <c r="H128" s="4"/>
    </row>
    <row r="129">
      <c r="A129" s="8"/>
      <c r="H129" s="4"/>
    </row>
    <row r="130">
      <c r="A130" s="8"/>
      <c r="H130" s="4"/>
    </row>
    <row r="131">
      <c r="A131" s="8"/>
      <c r="H131" s="4"/>
    </row>
    <row r="132">
      <c r="A132" s="8"/>
      <c r="H132" s="4"/>
    </row>
    <row r="133">
      <c r="A133" s="8"/>
      <c r="H133" s="4"/>
    </row>
    <row r="134">
      <c r="A134" s="8"/>
      <c r="H134" s="4"/>
    </row>
    <row r="135">
      <c r="A135" s="8"/>
      <c r="H135" s="4"/>
    </row>
    <row r="136">
      <c r="A136" s="8"/>
      <c r="H136" s="4"/>
    </row>
    <row r="137">
      <c r="A137" s="8"/>
      <c r="H137" s="4"/>
    </row>
    <row r="138">
      <c r="A138" s="8"/>
      <c r="H138" s="4"/>
    </row>
    <row r="139">
      <c r="A139" s="8"/>
      <c r="H139" s="4"/>
    </row>
    <row r="140">
      <c r="A140" s="8"/>
      <c r="H140" s="4"/>
    </row>
    <row r="141">
      <c r="A141" s="8"/>
      <c r="H141" s="4"/>
    </row>
    <row r="142">
      <c r="A142" s="8"/>
      <c r="H142" s="4"/>
    </row>
    <row r="143">
      <c r="A143" s="8"/>
      <c r="H143" s="4"/>
    </row>
    <row r="144">
      <c r="A144" s="8"/>
      <c r="H144" s="4"/>
    </row>
    <row r="145">
      <c r="A145" s="8"/>
      <c r="H145" s="4"/>
    </row>
    <row r="146">
      <c r="A146" s="8"/>
      <c r="H146" s="4"/>
    </row>
    <row r="147">
      <c r="A147" s="8"/>
      <c r="H147" s="4"/>
    </row>
    <row r="148">
      <c r="A148" s="8"/>
      <c r="H148" s="4"/>
    </row>
    <row r="149">
      <c r="A149" s="8"/>
      <c r="H149" s="4"/>
    </row>
    <row r="150">
      <c r="A150" s="8"/>
      <c r="H150" s="4"/>
    </row>
    <row r="151">
      <c r="A151" s="8"/>
      <c r="H151" s="4"/>
    </row>
    <row r="152">
      <c r="A152" s="8"/>
      <c r="H152" s="4"/>
    </row>
    <row r="153">
      <c r="A153" s="8"/>
      <c r="H153" s="4"/>
    </row>
    <row r="154">
      <c r="A154" s="8"/>
      <c r="H154" s="4"/>
    </row>
    <row r="155">
      <c r="A155" s="8"/>
      <c r="H155" s="4"/>
    </row>
    <row r="156">
      <c r="A156" s="8"/>
      <c r="H156" s="4"/>
    </row>
    <row r="157">
      <c r="A157" s="8"/>
      <c r="H157" s="4"/>
    </row>
    <row r="158">
      <c r="A158" s="8"/>
      <c r="H158" s="4"/>
    </row>
    <row r="159">
      <c r="A159" s="8"/>
      <c r="H159" s="4"/>
    </row>
    <row r="160">
      <c r="A160" s="8"/>
      <c r="H160" s="4"/>
    </row>
    <row r="161">
      <c r="A161" s="8"/>
      <c r="H161" s="4"/>
    </row>
    <row r="162">
      <c r="A162" s="8"/>
      <c r="H162" s="4"/>
    </row>
    <row r="163">
      <c r="A163" s="8"/>
      <c r="H163" s="4"/>
    </row>
    <row r="164">
      <c r="A164" s="8"/>
      <c r="H164" s="4"/>
    </row>
    <row r="165">
      <c r="A165" s="8"/>
      <c r="H165" s="4"/>
    </row>
    <row r="166">
      <c r="A166" s="8"/>
      <c r="H166" s="4"/>
    </row>
    <row r="167">
      <c r="A167" s="8"/>
      <c r="H167" s="4"/>
    </row>
    <row r="168">
      <c r="A168" s="8"/>
      <c r="H168" s="4"/>
    </row>
    <row r="169">
      <c r="A169" s="8"/>
      <c r="H169" s="4"/>
    </row>
    <row r="170">
      <c r="A170" s="8"/>
      <c r="H170" s="4"/>
    </row>
    <row r="171">
      <c r="A171" s="8"/>
      <c r="H171" s="4"/>
    </row>
    <row r="172">
      <c r="A172" s="8"/>
      <c r="H172" s="4"/>
    </row>
    <row r="173">
      <c r="A173" s="8"/>
      <c r="H173" s="4"/>
    </row>
    <row r="174">
      <c r="A174" s="8"/>
      <c r="H174" s="4"/>
    </row>
    <row r="175">
      <c r="A175" s="8"/>
      <c r="H175" s="4"/>
    </row>
    <row r="176">
      <c r="A176" s="8"/>
      <c r="H176" s="4"/>
    </row>
    <row r="177">
      <c r="A177" s="8"/>
      <c r="H177" s="4"/>
    </row>
    <row r="178">
      <c r="A178" s="8"/>
      <c r="H178" s="4"/>
    </row>
    <row r="179">
      <c r="A179" s="8"/>
      <c r="H179" s="4"/>
    </row>
    <row r="180">
      <c r="A180" s="8"/>
      <c r="H180" s="4"/>
    </row>
    <row r="181">
      <c r="A181" s="8"/>
      <c r="H181" s="4"/>
    </row>
    <row r="182">
      <c r="A182" s="8"/>
      <c r="H182" s="4"/>
    </row>
    <row r="183">
      <c r="A183" s="8"/>
      <c r="H183" s="4"/>
    </row>
    <row r="184">
      <c r="A184" s="8"/>
      <c r="H184" s="4"/>
    </row>
    <row r="185">
      <c r="A185" s="8"/>
      <c r="H185" s="4"/>
    </row>
    <row r="186">
      <c r="A186" s="8"/>
      <c r="H186" s="4"/>
    </row>
    <row r="187">
      <c r="A187" s="8"/>
      <c r="H187" s="4"/>
    </row>
    <row r="188">
      <c r="A188" s="8"/>
      <c r="H188" s="4"/>
    </row>
    <row r="189">
      <c r="A189" s="8"/>
      <c r="H189" s="4"/>
    </row>
    <row r="190">
      <c r="A190" s="8"/>
      <c r="H190" s="4"/>
    </row>
    <row r="191">
      <c r="A191" s="8"/>
      <c r="H191" s="4"/>
    </row>
    <row r="192">
      <c r="A192" s="8"/>
      <c r="H192" s="4"/>
    </row>
    <row r="193">
      <c r="A193" s="8"/>
      <c r="H193" s="4"/>
    </row>
    <row r="194">
      <c r="A194" s="8"/>
      <c r="H194" s="4"/>
    </row>
    <row r="195">
      <c r="A195" s="8"/>
      <c r="H195" s="4"/>
    </row>
    <row r="196">
      <c r="A196" s="8"/>
      <c r="H196" s="4"/>
    </row>
    <row r="197">
      <c r="A197" s="8"/>
      <c r="H197" s="4"/>
    </row>
    <row r="198">
      <c r="A198" s="8"/>
      <c r="H198" s="4"/>
    </row>
    <row r="199">
      <c r="A199" s="8"/>
      <c r="H199" s="4"/>
    </row>
    <row r="200">
      <c r="A200" s="8"/>
      <c r="H200" s="4"/>
    </row>
    <row r="201">
      <c r="A201" s="8"/>
      <c r="H201" s="4"/>
    </row>
    <row r="202">
      <c r="A202" s="8"/>
      <c r="H202" s="4"/>
    </row>
    <row r="203">
      <c r="A203" s="8"/>
      <c r="H203" s="4"/>
    </row>
    <row r="204">
      <c r="A204" s="8"/>
      <c r="H204" s="4"/>
    </row>
    <row r="205">
      <c r="A205" s="8"/>
      <c r="H205" s="4"/>
    </row>
    <row r="206">
      <c r="A206" s="8"/>
      <c r="H206" s="4"/>
    </row>
    <row r="207">
      <c r="A207" s="8"/>
      <c r="H207" s="4"/>
    </row>
    <row r="208">
      <c r="A208" s="8"/>
      <c r="H208" s="4"/>
    </row>
    <row r="209">
      <c r="A209" s="8"/>
      <c r="H209" s="4"/>
    </row>
    <row r="210">
      <c r="A210" s="8"/>
      <c r="H210" s="4"/>
    </row>
    <row r="211">
      <c r="A211" s="8"/>
      <c r="H211" s="4"/>
    </row>
    <row r="212">
      <c r="A212" s="8"/>
      <c r="H212" s="4"/>
    </row>
    <row r="213">
      <c r="A213" s="8"/>
      <c r="H213" s="4"/>
    </row>
    <row r="214">
      <c r="A214" s="8"/>
      <c r="H214" s="4"/>
    </row>
    <row r="215">
      <c r="A215" s="8"/>
      <c r="H215" s="4"/>
    </row>
    <row r="216">
      <c r="A216" s="8"/>
      <c r="H216" s="4"/>
    </row>
    <row r="217">
      <c r="A217" s="8"/>
      <c r="H217" s="4"/>
    </row>
    <row r="218">
      <c r="A218" s="8"/>
      <c r="H218" s="4"/>
    </row>
    <row r="219">
      <c r="A219" s="8"/>
      <c r="H219" s="4"/>
    </row>
    <row r="220">
      <c r="A220" s="8"/>
      <c r="H220" s="4"/>
    </row>
    <row r="221">
      <c r="A221" s="8"/>
      <c r="H221" s="4"/>
    </row>
    <row r="222">
      <c r="A222" s="8"/>
      <c r="H222" s="4"/>
    </row>
    <row r="223">
      <c r="A223" s="8"/>
      <c r="H223" s="4"/>
    </row>
    <row r="224">
      <c r="A224" s="8"/>
      <c r="H224" s="4"/>
    </row>
    <row r="225">
      <c r="A225" s="8"/>
      <c r="H225" s="4"/>
    </row>
    <row r="226">
      <c r="A226" s="8"/>
      <c r="H226" s="4"/>
    </row>
    <row r="227">
      <c r="A227" s="8"/>
      <c r="H227" s="4"/>
    </row>
    <row r="228">
      <c r="A228" s="8"/>
      <c r="H228" s="4"/>
    </row>
    <row r="229">
      <c r="A229" s="8"/>
      <c r="H229" s="4"/>
    </row>
    <row r="230">
      <c r="A230" s="8"/>
      <c r="H230" s="4"/>
    </row>
    <row r="231">
      <c r="A231" s="8"/>
      <c r="H231" s="4"/>
    </row>
    <row r="232">
      <c r="A232" s="8"/>
      <c r="H232" s="4"/>
    </row>
    <row r="233">
      <c r="A233" s="8"/>
      <c r="H233" s="4"/>
    </row>
    <row r="234">
      <c r="A234" s="8"/>
      <c r="H234" s="4"/>
    </row>
    <row r="235">
      <c r="A235" s="8"/>
      <c r="H235" s="4"/>
    </row>
    <row r="236">
      <c r="A236" s="8"/>
      <c r="H236" s="4"/>
    </row>
    <row r="237">
      <c r="A237" s="8"/>
      <c r="H237" s="4"/>
    </row>
    <row r="238">
      <c r="A238" s="8"/>
      <c r="H238" s="4"/>
    </row>
    <row r="239">
      <c r="A239" s="8"/>
      <c r="H239" s="4"/>
    </row>
    <row r="240">
      <c r="A240" s="8"/>
      <c r="H240" s="4"/>
    </row>
    <row r="241">
      <c r="A241" s="8"/>
      <c r="H241" s="4"/>
    </row>
    <row r="242">
      <c r="A242" s="8"/>
      <c r="H242" s="4"/>
    </row>
    <row r="243">
      <c r="A243" s="8"/>
      <c r="H243" s="4"/>
    </row>
    <row r="244">
      <c r="A244" s="8"/>
      <c r="H244" s="4"/>
    </row>
    <row r="245">
      <c r="A245" s="8"/>
      <c r="H245" s="4"/>
    </row>
    <row r="246">
      <c r="A246" s="8"/>
      <c r="H246" s="4"/>
    </row>
    <row r="247">
      <c r="A247" s="8"/>
      <c r="H247" s="4"/>
    </row>
    <row r="248">
      <c r="A248" s="8"/>
      <c r="H248" s="4"/>
    </row>
    <row r="249">
      <c r="A249" s="8"/>
      <c r="H249" s="4"/>
    </row>
    <row r="250">
      <c r="A250" s="8"/>
      <c r="H250" s="4"/>
    </row>
    <row r="251">
      <c r="A251" s="8"/>
      <c r="H251" s="4"/>
    </row>
    <row r="252">
      <c r="A252" s="8"/>
      <c r="H252" s="4"/>
    </row>
    <row r="253">
      <c r="A253" s="8"/>
      <c r="H253" s="4"/>
    </row>
    <row r="254">
      <c r="A254" s="8"/>
      <c r="H254" s="4"/>
    </row>
    <row r="255">
      <c r="A255" s="8"/>
      <c r="H255" s="4"/>
    </row>
    <row r="256">
      <c r="A256" s="8"/>
      <c r="H256" s="4"/>
    </row>
    <row r="257">
      <c r="A257" s="8"/>
      <c r="H257" s="4"/>
    </row>
    <row r="258">
      <c r="A258" s="8"/>
      <c r="H258" s="4"/>
    </row>
    <row r="259">
      <c r="A259" s="8"/>
      <c r="H259" s="4"/>
    </row>
    <row r="260">
      <c r="A260" s="8"/>
      <c r="H260" s="4"/>
    </row>
    <row r="261">
      <c r="A261" s="8"/>
      <c r="H261" s="4"/>
    </row>
    <row r="262">
      <c r="A262" s="8"/>
      <c r="H262" s="4"/>
    </row>
    <row r="263">
      <c r="A263" s="8"/>
      <c r="H263" s="4"/>
    </row>
    <row r="264">
      <c r="A264" s="8"/>
      <c r="H264" s="4"/>
    </row>
    <row r="265">
      <c r="A265" s="8"/>
      <c r="H265" s="4"/>
    </row>
    <row r="266">
      <c r="A266" s="8"/>
      <c r="H266" s="4"/>
    </row>
    <row r="267">
      <c r="A267" s="8"/>
      <c r="H267" s="4"/>
    </row>
    <row r="268">
      <c r="A268" s="8"/>
      <c r="H268" s="4"/>
    </row>
    <row r="269">
      <c r="A269" s="8"/>
      <c r="H269" s="4"/>
    </row>
    <row r="270">
      <c r="A270" s="8"/>
      <c r="H270" s="4"/>
    </row>
    <row r="271">
      <c r="A271" s="8"/>
      <c r="H271" s="4"/>
    </row>
    <row r="272">
      <c r="A272" s="8"/>
      <c r="H272" s="4"/>
    </row>
    <row r="273">
      <c r="A273" s="8"/>
      <c r="H273" s="4"/>
    </row>
    <row r="274">
      <c r="A274" s="8"/>
      <c r="H274" s="4"/>
    </row>
    <row r="275">
      <c r="A275" s="8"/>
      <c r="H275" s="4"/>
    </row>
    <row r="276">
      <c r="A276" s="8"/>
      <c r="H276" s="4"/>
    </row>
    <row r="277">
      <c r="A277" s="8"/>
      <c r="H277" s="4"/>
    </row>
    <row r="278">
      <c r="A278" s="8"/>
      <c r="H278" s="4"/>
    </row>
    <row r="279">
      <c r="A279" s="8"/>
      <c r="H279" s="4"/>
    </row>
    <row r="280">
      <c r="A280" s="8"/>
      <c r="H280" s="4"/>
    </row>
    <row r="281">
      <c r="A281" s="8"/>
      <c r="H281" s="4"/>
    </row>
    <row r="282">
      <c r="A282" s="8"/>
      <c r="H282" s="4"/>
    </row>
    <row r="283">
      <c r="A283" s="8"/>
      <c r="H283" s="4"/>
    </row>
    <row r="284">
      <c r="A284" s="8"/>
      <c r="H284" s="4"/>
    </row>
    <row r="285">
      <c r="A285" s="8"/>
      <c r="H285" s="4"/>
    </row>
    <row r="286">
      <c r="A286" s="8"/>
      <c r="H286" s="4"/>
    </row>
    <row r="287">
      <c r="A287" s="8"/>
      <c r="H287" s="4"/>
    </row>
    <row r="288">
      <c r="A288" s="8"/>
      <c r="H288" s="4"/>
    </row>
    <row r="289">
      <c r="A289" s="8"/>
      <c r="H289" s="4"/>
    </row>
    <row r="290">
      <c r="A290" s="8"/>
      <c r="H290" s="4"/>
    </row>
    <row r="291">
      <c r="A291" s="8"/>
      <c r="H291" s="4"/>
    </row>
    <row r="292">
      <c r="A292" s="8"/>
      <c r="H292" s="4"/>
    </row>
    <row r="293">
      <c r="A293" s="8"/>
      <c r="H293" s="4"/>
    </row>
    <row r="294">
      <c r="A294" s="8"/>
      <c r="H294" s="4"/>
    </row>
    <row r="295">
      <c r="A295" s="8"/>
      <c r="H295" s="4"/>
    </row>
    <row r="296">
      <c r="A296" s="8"/>
      <c r="H296" s="4"/>
    </row>
    <row r="297">
      <c r="A297" s="8"/>
      <c r="H297" s="4"/>
    </row>
    <row r="298">
      <c r="A298" s="8"/>
      <c r="H298" s="4"/>
    </row>
    <row r="299">
      <c r="A299" s="8"/>
      <c r="H299" s="4"/>
    </row>
    <row r="300">
      <c r="A300" s="8"/>
      <c r="H300" s="4"/>
    </row>
    <row r="301">
      <c r="A301" s="8"/>
      <c r="H301" s="4"/>
    </row>
    <row r="302">
      <c r="A302" s="8"/>
      <c r="H302" s="4"/>
    </row>
    <row r="303">
      <c r="A303" s="8"/>
      <c r="H303" s="4"/>
    </row>
    <row r="304">
      <c r="A304" s="8"/>
      <c r="H304" s="4"/>
    </row>
    <row r="305">
      <c r="A305" s="8"/>
      <c r="H305" s="4"/>
    </row>
    <row r="306">
      <c r="A306" s="8"/>
      <c r="H306" s="4"/>
    </row>
    <row r="307">
      <c r="A307" s="8"/>
      <c r="H307" s="4"/>
    </row>
    <row r="308">
      <c r="A308" s="8"/>
      <c r="H308" s="4"/>
    </row>
    <row r="309">
      <c r="A309" s="8"/>
      <c r="H309" s="4"/>
    </row>
    <row r="310">
      <c r="A310" s="8"/>
      <c r="H310" s="4"/>
    </row>
    <row r="311">
      <c r="A311" s="8"/>
      <c r="H311" s="4"/>
    </row>
    <row r="312">
      <c r="A312" s="8"/>
      <c r="H312" s="4"/>
    </row>
    <row r="313">
      <c r="A313" s="8"/>
      <c r="H313" s="4"/>
    </row>
    <row r="314">
      <c r="A314" s="8"/>
      <c r="H314" s="4"/>
    </row>
    <row r="315">
      <c r="A315" s="8"/>
      <c r="H315" s="4"/>
    </row>
    <row r="316">
      <c r="A316" s="8"/>
      <c r="H316" s="4"/>
    </row>
    <row r="317">
      <c r="A317" s="8"/>
      <c r="H317" s="4"/>
    </row>
    <row r="318">
      <c r="A318" s="8"/>
      <c r="H318" s="4"/>
    </row>
    <row r="319">
      <c r="A319" s="8"/>
      <c r="H319" s="4"/>
    </row>
    <row r="320">
      <c r="A320" s="8"/>
      <c r="H320" s="4"/>
    </row>
    <row r="321">
      <c r="A321" s="8"/>
      <c r="H321" s="4"/>
    </row>
    <row r="322">
      <c r="A322" s="8"/>
      <c r="H322" s="4"/>
    </row>
    <row r="323">
      <c r="A323" s="8"/>
      <c r="H323" s="4"/>
    </row>
    <row r="324">
      <c r="A324" s="8"/>
      <c r="H324" s="4"/>
    </row>
    <row r="325">
      <c r="A325" s="8"/>
      <c r="H325" s="4"/>
    </row>
    <row r="326">
      <c r="A326" s="8"/>
      <c r="H326" s="4"/>
    </row>
    <row r="327">
      <c r="A327" s="8"/>
      <c r="H327" s="4"/>
    </row>
    <row r="328">
      <c r="A328" s="8"/>
      <c r="H328" s="4"/>
    </row>
    <row r="329">
      <c r="A329" s="8"/>
      <c r="H329" s="4"/>
    </row>
    <row r="330">
      <c r="A330" s="8"/>
      <c r="H330" s="4"/>
    </row>
    <row r="331">
      <c r="A331" s="8"/>
      <c r="H331" s="4"/>
    </row>
    <row r="332">
      <c r="A332" s="8"/>
      <c r="H332" s="4"/>
    </row>
    <row r="333">
      <c r="A333" s="8"/>
      <c r="H333" s="4"/>
    </row>
    <row r="334">
      <c r="A334" s="8"/>
      <c r="H334" s="4"/>
    </row>
    <row r="335">
      <c r="A335" s="8"/>
      <c r="H335" s="4"/>
    </row>
    <row r="336">
      <c r="A336" s="8"/>
      <c r="H336" s="4"/>
    </row>
    <row r="337">
      <c r="A337" s="8"/>
      <c r="H337" s="4"/>
    </row>
    <row r="338">
      <c r="A338" s="8"/>
      <c r="H338" s="4"/>
    </row>
    <row r="339">
      <c r="A339" s="8"/>
      <c r="H339" s="4"/>
    </row>
    <row r="340">
      <c r="A340" s="8"/>
      <c r="H340" s="4"/>
    </row>
    <row r="341">
      <c r="A341" s="8"/>
      <c r="H341" s="4"/>
    </row>
    <row r="342">
      <c r="A342" s="8"/>
      <c r="H342" s="4"/>
    </row>
    <row r="343">
      <c r="A343" s="8"/>
      <c r="H343" s="4"/>
    </row>
    <row r="344">
      <c r="A344" s="8"/>
      <c r="H344" s="4"/>
    </row>
    <row r="345">
      <c r="A345" s="8"/>
      <c r="H345" s="4"/>
    </row>
    <row r="346">
      <c r="A346" s="8"/>
      <c r="H346" s="4"/>
    </row>
    <row r="347">
      <c r="A347" s="8"/>
      <c r="H347" s="4"/>
    </row>
    <row r="348">
      <c r="A348" s="8"/>
      <c r="H348" s="4"/>
    </row>
    <row r="349">
      <c r="A349" s="8"/>
      <c r="H349" s="4"/>
    </row>
    <row r="350">
      <c r="A350" s="8"/>
      <c r="H350" s="4"/>
    </row>
    <row r="351">
      <c r="A351" s="8"/>
      <c r="H351" s="4"/>
    </row>
    <row r="352">
      <c r="A352" s="8"/>
      <c r="H352" s="4"/>
    </row>
    <row r="353">
      <c r="A353" s="8"/>
      <c r="H353" s="4"/>
    </row>
    <row r="354">
      <c r="A354" s="8"/>
      <c r="H354" s="4"/>
    </row>
    <row r="355">
      <c r="A355" s="8"/>
      <c r="H355" s="4"/>
    </row>
    <row r="356">
      <c r="A356" s="8"/>
      <c r="H356" s="4"/>
    </row>
    <row r="357">
      <c r="A357" s="8"/>
      <c r="H357" s="4"/>
    </row>
    <row r="358">
      <c r="A358" s="8"/>
      <c r="H358" s="4"/>
    </row>
    <row r="359">
      <c r="A359" s="8"/>
      <c r="H359" s="4"/>
    </row>
    <row r="360">
      <c r="A360" s="8"/>
      <c r="H360" s="4"/>
    </row>
    <row r="361">
      <c r="A361" s="8"/>
      <c r="H361" s="4"/>
    </row>
    <row r="362">
      <c r="A362" s="8"/>
      <c r="H362" s="4"/>
    </row>
    <row r="363">
      <c r="A363" s="8"/>
      <c r="H363" s="4"/>
    </row>
    <row r="364">
      <c r="A364" s="8"/>
      <c r="H364" s="4"/>
    </row>
    <row r="365">
      <c r="A365" s="8"/>
      <c r="H365" s="4"/>
    </row>
    <row r="366">
      <c r="A366" s="8"/>
      <c r="H366" s="4"/>
    </row>
    <row r="367">
      <c r="A367" s="8"/>
      <c r="H367" s="4"/>
    </row>
    <row r="368">
      <c r="A368" s="8"/>
      <c r="H368" s="4"/>
    </row>
    <row r="369">
      <c r="A369" s="8"/>
      <c r="H369" s="4"/>
    </row>
    <row r="370">
      <c r="A370" s="8"/>
      <c r="H370" s="4"/>
    </row>
    <row r="371">
      <c r="A371" s="8"/>
      <c r="H371" s="4"/>
    </row>
    <row r="372">
      <c r="A372" s="8"/>
      <c r="H372" s="4"/>
    </row>
    <row r="373">
      <c r="A373" s="8"/>
      <c r="H373" s="4"/>
    </row>
    <row r="374">
      <c r="A374" s="8"/>
      <c r="H374" s="4"/>
    </row>
    <row r="375">
      <c r="A375" s="8"/>
      <c r="H375" s="4"/>
    </row>
    <row r="376">
      <c r="A376" s="8"/>
      <c r="H376" s="4"/>
    </row>
    <row r="377">
      <c r="A377" s="8"/>
      <c r="H377" s="4"/>
    </row>
    <row r="378">
      <c r="A378" s="8"/>
      <c r="H378" s="4"/>
    </row>
    <row r="379">
      <c r="A379" s="8"/>
      <c r="H379" s="4"/>
    </row>
    <row r="380">
      <c r="A380" s="8"/>
      <c r="H380" s="4"/>
    </row>
    <row r="381">
      <c r="A381" s="8"/>
      <c r="H381" s="4"/>
    </row>
    <row r="382">
      <c r="A382" s="8"/>
      <c r="H382" s="4"/>
    </row>
    <row r="383">
      <c r="A383" s="8"/>
      <c r="H383" s="4"/>
    </row>
    <row r="384">
      <c r="A384" s="8"/>
      <c r="H384" s="4"/>
    </row>
    <row r="385">
      <c r="A385" s="8"/>
      <c r="H385" s="4"/>
    </row>
    <row r="386">
      <c r="A386" s="8"/>
      <c r="H386" s="4"/>
    </row>
    <row r="387">
      <c r="A387" s="8"/>
      <c r="H387" s="4"/>
    </row>
    <row r="388">
      <c r="A388" s="8"/>
      <c r="H388" s="4"/>
    </row>
    <row r="389">
      <c r="A389" s="8"/>
      <c r="H389" s="4"/>
    </row>
    <row r="390">
      <c r="A390" s="8"/>
      <c r="H390" s="4"/>
    </row>
    <row r="391">
      <c r="A391" s="8"/>
      <c r="H391" s="4"/>
    </row>
    <row r="392">
      <c r="A392" s="8"/>
      <c r="H392" s="4"/>
    </row>
    <row r="393">
      <c r="A393" s="8"/>
      <c r="H393" s="4"/>
    </row>
    <row r="394">
      <c r="A394" s="8"/>
      <c r="H394" s="4"/>
    </row>
    <row r="395">
      <c r="A395" s="8"/>
      <c r="H395" s="4"/>
    </row>
    <row r="396">
      <c r="A396" s="8"/>
      <c r="H396" s="4"/>
    </row>
    <row r="397">
      <c r="A397" s="8"/>
      <c r="H397" s="4"/>
    </row>
    <row r="398">
      <c r="A398" s="8"/>
      <c r="H398" s="4"/>
    </row>
    <row r="399">
      <c r="A399" s="8"/>
      <c r="H399" s="4"/>
    </row>
    <row r="400">
      <c r="A400" s="8"/>
      <c r="H400" s="4"/>
    </row>
    <row r="401">
      <c r="A401" s="8"/>
      <c r="H401" s="4"/>
    </row>
    <row r="402">
      <c r="A402" s="8"/>
      <c r="H402" s="4"/>
    </row>
    <row r="403">
      <c r="A403" s="8"/>
      <c r="H403" s="4"/>
    </row>
    <row r="404">
      <c r="A404" s="8"/>
      <c r="H404" s="4"/>
    </row>
    <row r="405">
      <c r="A405" s="8"/>
      <c r="H405" s="4"/>
    </row>
    <row r="406">
      <c r="A406" s="8"/>
      <c r="H406" s="4"/>
    </row>
    <row r="407">
      <c r="A407" s="8"/>
      <c r="H407" s="4"/>
    </row>
    <row r="408">
      <c r="A408" s="8"/>
      <c r="H408" s="4"/>
    </row>
    <row r="409">
      <c r="A409" s="8"/>
      <c r="H409" s="4"/>
    </row>
    <row r="410">
      <c r="A410" s="8"/>
      <c r="H410" s="4"/>
    </row>
    <row r="411">
      <c r="A411" s="8"/>
      <c r="H411" s="4"/>
    </row>
    <row r="412">
      <c r="A412" s="8"/>
      <c r="H412" s="4"/>
    </row>
    <row r="413">
      <c r="A413" s="8"/>
      <c r="H413" s="4"/>
    </row>
    <row r="414">
      <c r="A414" s="8"/>
      <c r="H414" s="4"/>
    </row>
    <row r="415">
      <c r="A415" s="8"/>
      <c r="H415" s="4"/>
    </row>
    <row r="416">
      <c r="A416" s="8"/>
      <c r="H416" s="4"/>
    </row>
    <row r="417">
      <c r="A417" s="8"/>
      <c r="H417" s="4"/>
    </row>
    <row r="418">
      <c r="A418" s="8"/>
      <c r="H418" s="4"/>
    </row>
    <row r="419">
      <c r="A419" s="8"/>
      <c r="H419" s="4"/>
    </row>
    <row r="420">
      <c r="A420" s="8"/>
      <c r="H420" s="4"/>
    </row>
    <row r="421">
      <c r="A421" s="8"/>
      <c r="H421" s="4"/>
    </row>
    <row r="422">
      <c r="A422" s="8"/>
      <c r="H422" s="4"/>
    </row>
    <row r="423">
      <c r="A423" s="8"/>
      <c r="H423" s="4"/>
    </row>
    <row r="424">
      <c r="A424" s="8"/>
      <c r="H424" s="4"/>
    </row>
    <row r="425">
      <c r="A425" s="8"/>
      <c r="H425" s="4"/>
    </row>
    <row r="426">
      <c r="A426" s="8"/>
      <c r="H426" s="4"/>
    </row>
    <row r="427">
      <c r="A427" s="8"/>
      <c r="H427" s="4"/>
    </row>
    <row r="428">
      <c r="A428" s="8"/>
      <c r="H428" s="4"/>
    </row>
    <row r="429">
      <c r="A429" s="8"/>
      <c r="H429" s="4"/>
    </row>
    <row r="430">
      <c r="A430" s="8"/>
      <c r="H430" s="4"/>
    </row>
    <row r="431">
      <c r="A431" s="8"/>
      <c r="H431" s="4"/>
    </row>
    <row r="432">
      <c r="A432" s="8"/>
      <c r="H432" s="4"/>
    </row>
    <row r="433">
      <c r="A433" s="8"/>
      <c r="H433" s="4"/>
    </row>
    <row r="434">
      <c r="A434" s="8"/>
      <c r="H434" s="4"/>
    </row>
    <row r="435">
      <c r="A435" s="8"/>
      <c r="H435" s="4"/>
    </row>
    <row r="436">
      <c r="A436" s="8"/>
      <c r="H436" s="4"/>
    </row>
    <row r="437">
      <c r="A437" s="8"/>
      <c r="H437" s="4"/>
    </row>
    <row r="438">
      <c r="A438" s="8"/>
      <c r="H438" s="4"/>
    </row>
    <row r="439">
      <c r="A439" s="8"/>
      <c r="H439" s="4"/>
    </row>
    <row r="440">
      <c r="A440" s="8"/>
      <c r="H440" s="4"/>
    </row>
    <row r="441">
      <c r="A441" s="8"/>
      <c r="H441" s="4"/>
    </row>
    <row r="442">
      <c r="A442" s="8"/>
      <c r="H442" s="4"/>
    </row>
    <row r="443">
      <c r="A443" s="8"/>
      <c r="H443" s="4"/>
    </row>
    <row r="444">
      <c r="A444" s="8"/>
      <c r="H444" s="4"/>
    </row>
    <row r="445">
      <c r="A445" s="8"/>
      <c r="H445" s="4"/>
    </row>
    <row r="446">
      <c r="A446" s="8"/>
      <c r="H446" s="4"/>
    </row>
    <row r="447">
      <c r="A447" s="8"/>
      <c r="H447" s="4"/>
    </row>
    <row r="448">
      <c r="A448" s="8"/>
      <c r="H448" s="4"/>
    </row>
    <row r="449">
      <c r="A449" s="8"/>
      <c r="H449" s="4"/>
    </row>
    <row r="450">
      <c r="A450" s="8"/>
      <c r="H450" s="4"/>
    </row>
    <row r="451">
      <c r="A451" s="8"/>
      <c r="H451" s="4"/>
    </row>
    <row r="452">
      <c r="A452" s="8"/>
      <c r="H452" s="4"/>
    </row>
    <row r="453">
      <c r="A453" s="8"/>
      <c r="H453" s="4"/>
    </row>
    <row r="454">
      <c r="A454" s="8"/>
      <c r="H454" s="4"/>
    </row>
    <row r="455">
      <c r="A455" s="8"/>
      <c r="H455" s="4"/>
    </row>
    <row r="456">
      <c r="A456" s="8"/>
      <c r="H456" s="4"/>
    </row>
    <row r="457">
      <c r="A457" s="8"/>
      <c r="H457" s="4"/>
    </row>
    <row r="458">
      <c r="A458" s="8"/>
      <c r="H458" s="4"/>
    </row>
    <row r="459">
      <c r="A459" s="8"/>
      <c r="H459" s="4"/>
    </row>
    <row r="460">
      <c r="A460" s="8"/>
      <c r="H460" s="4"/>
    </row>
    <row r="461">
      <c r="A461" s="8"/>
      <c r="H461" s="4"/>
    </row>
    <row r="462">
      <c r="A462" s="8"/>
      <c r="H462" s="4"/>
    </row>
    <row r="463">
      <c r="A463" s="8"/>
      <c r="H463" s="4"/>
    </row>
    <row r="464">
      <c r="A464" s="8"/>
      <c r="H464" s="4"/>
    </row>
    <row r="465">
      <c r="A465" s="8"/>
      <c r="H465" s="4"/>
    </row>
    <row r="466">
      <c r="A466" s="8"/>
      <c r="H466" s="4"/>
    </row>
    <row r="467">
      <c r="A467" s="8"/>
      <c r="H467" s="4"/>
    </row>
    <row r="468">
      <c r="A468" s="8"/>
      <c r="H468" s="4"/>
    </row>
    <row r="469">
      <c r="A469" s="8"/>
      <c r="H469" s="4"/>
    </row>
    <row r="470">
      <c r="A470" s="8"/>
      <c r="H470" s="4"/>
    </row>
    <row r="471">
      <c r="A471" s="8"/>
      <c r="H471" s="4"/>
    </row>
    <row r="472">
      <c r="A472" s="8"/>
      <c r="H472" s="4"/>
    </row>
    <row r="473">
      <c r="A473" s="8"/>
      <c r="H473" s="4"/>
    </row>
    <row r="474">
      <c r="A474" s="8"/>
      <c r="H474" s="4"/>
    </row>
    <row r="475">
      <c r="A475" s="8"/>
      <c r="H475" s="4"/>
    </row>
    <row r="476">
      <c r="A476" s="8"/>
      <c r="H476" s="4"/>
    </row>
    <row r="477">
      <c r="A477" s="8"/>
      <c r="H477" s="4"/>
    </row>
    <row r="478">
      <c r="A478" s="8"/>
      <c r="H478" s="4"/>
    </row>
    <row r="479">
      <c r="A479" s="8"/>
      <c r="H479" s="4"/>
    </row>
    <row r="480">
      <c r="A480" s="8"/>
      <c r="H480" s="4"/>
    </row>
    <row r="481">
      <c r="A481" s="8"/>
      <c r="H481" s="4"/>
    </row>
    <row r="482">
      <c r="A482" s="8"/>
      <c r="H482" s="4"/>
    </row>
    <row r="483">
      <c r="A483" s="8"/>
      <c r="H483" s="4"/>
    </row>
    <row r="484">
      <c r="A484" s="8"/>
      <c r="H484" s="4"/>
    </row>
    <row r="485">
      <c r="A485" s="8"/>
      <c r="H485" s="4"/>
    </row>
    <row r="486">
      <c r="A486" s="8"/>
      <c r="H486" s="4"/>
    </row>
    <row r="487">
      <c r="A487" s="8"/>
      <c r="H487" s="4"/>
    </row>
    <row r="488">
      <c r="A488" s="8"/>
      <c r="H488" s="4"/>
    </row>
    <row r="489">
      <c r="A489" s="8"/>
      <c r="H489" s="4"/>
    </row>
    <row r="490">
      <c r="A490" s="8"/>
      <c r="H490" s="4"/>
    </row>
    <row r="491">
      <c r="A491" s="8"/>
      <c r="H491" s="4"/>
    </row>
    <row r="492">
      <c r="A492" s="8"/>
      <c r="H492" s="4"/>
    </row>
    <row r="493">
      <c r="A493" s="8"/>
      <c r="H493" s="4"/>
    </row>
    <row r="494">
      <c r="A494" s="8"/>
      <c r="H494" s="4"/>
    </row>
    <row r="495">
      <c r="A495" s="8"/>
      <c r="H495" s="4"/>
    </row>
    <row r="496">
      <c r="A496" s="8"/>
      <c r="H496" s="4"/>
    </row>
    <row r="497">
      <c r="A497" s="8"/>
      <c r="H497" s="4"/>
    </row>
    <row r="498">
      <c r="A498" s="8"/>
      <c r="H498" s="4"/>
    </row>
    <row r="499">
      <c r="A499" s="8"/>
      <c r="H499" s="4"/>
    </row>
    <row r="500">
      <c r="A500" s="8"/>
      <c r="H500" s="4"/>
    </row>
    <row r="501">
      <c r="A501" s="8"/>
      <c r="H501" s="4"/>
    </row>
    <row r="502">
      <c r="A502" s="8"/>
      <c r="H502" s="4"/>
    </row>
    <row r="503">
      <c r="A503" s="8"/>
      <c r="H503" s="4"/>
    </row>
    <row r="504">
      <c r="A504" s="8"/>
      <c r="H504" s="4"/>
    </row>
    <row r="505">
      <c r="A505" s="8"/>
      <c r="H505" s="4"/>
    </row>
    <row r="506">
      <c r="A506" s="8"/>
      <c r="H506" s="4"/>
    </row>
    <row r="507">
      <c r="A507" s="8"/>
      <c r="H507" s="4"/>
    </row>
    <row r="508">
      <c r="A508" s="8"/>
      <c r="H508" s="4"/>
    </row>
    <row r="509">
      <c r="A509" s="8"/>
      <c r="H509" s="4"/>
    </row>
    <row r="510">
      <c r="A510" s="8"/>
      <c r="H510" s="4"/>
    </row>
    <row r="511">
      <c r="A511" s="8"/>
      <c r="H511" s="4"/>
    </row>
    <row r="512">
      <c r="A512" s="8"/>
      <c r="H512" s="4"/>
    </row>
    <row r="513">
      <c r="A513" s="8"/>
      <c r="H513" s="4"/>
    </row>
    <row r="514">
      <c r="A514" s="8"/>
      <c r="H514" s="4"/>
    </row>
    <row r="515">
      <c r="A515" s="8"/>
      <c r="H515" s="4"/>
    </row>
    <row r="516">
      <c r="A516" s="8"/>
      <c r="H516" s="4"/>
    </row>
    <row r="517">
      <c r="A517" s="8"/>
      <c r="H517" s="4"/>
    </row>
    <row r="518">
      <c r="A518" s="8"/>
      <c r="H518" s="4"/>
    </row>
    <row r="519">
      <c r="A519" s="8"/>
      <c r="H519" s="4"/>
    </row>
    <row r="520">
      <c r="A520" s="8"/>
      <c r="H520" s="4"/>
    </row>
    <row r="521">
      <c r="A521" s="8"/>
      <c r="H521" s="4"/>
    </row>
    <row r="522">
      <c r="A522" s="8"/>
      <c r="H522" s="4"/>
    </row>
    <row r="523">
      <c r="A523" s="8"/>
      <c r="H523" s="4"/>
    </row>
    <row r="524">
      <c r="A524" s="8"/>
      <c r="H524" s="4"/>
    </row>
    <row r="525">
      <c r="A525" s="8"/>
      <c r="H525" s="4"/>
    </row>
    <row r="526">
      <c r="A526" s="8"/>
      <c r="H526" s="4"/>
    </row>
    <row r="527">
      <c r="A527" s="8"/>
      <c r="H527" s="4"/>
    </row>
    <row r="528">
      <c r="A528" s="8"/>
      <c r="H528" s="4"/>
    </row>
    <row r="529">
      <c r="A529" s="8"/>
      <c r="H529" s="4"/>
    </row>
    <row r="530">
      <c r="A530" s="8"/>
      <c r="H530" s="4"/>
    </row>
    <row r="531">
      <c r="A531" s="8"/>
      <c r="H531" s="4"/>
    </row>
    <row r="532">
      <c r="A532" s="8"/>
      <c r="H532" s="4"/>
    </row>
    <row r="533">
      <c r="A533" s="8"/>
      <c r="H533" s="4"/>
    </row>
    <row r="534">
      <c r="A534" s="8"/>
      <c r="H534" s="4"/>
    </row>
    <row r="535">
      <c r="A535" s="8"/>
      <c r="H535" s="4"/>
    </row>
    <row r="536">
      <c r="A536" s="8"/>
      <c r="H536" s="4"/>
    </row>
    <row r="537">
      <c r="A537" s="8"/>
      <c r="H537" s="4"/>
    </row>
    <row r="538">
      <c r="A538" s="8"/>
      <c r="H538" s="4"/>
    </row>
    <row r="539">
      <c r="A539" s="8"/>
      <c r="H539" s="4"/>
    </row>
    <row r="540">
      <c r="A540" s="8"/>
      <c r="H540" s="4"/>
    </row>
    <row r="541">
      <c r="A541" s="8"/>
      <c r="H541" s="4"/>
    </row>
    <row r="542">
      <c r="A542" s="8"/>
      <c r="H542" s="4"/>
    </row>
    <row r="543">
      <c r="A543" s="8"/>
      <c r="H543" s="4"/>
    </row>
    <row r="544">
      <c r="A544" s="8"/>
      <c r="H544" s="4"/>
    </row>
    <row r="545">
      <c r="A545" s="8"/>
      <c r="H545" s="4"/>
    </row>
    <row r="546">
      <c r="A546" s="8"/>
      <c r="H546" s="4"/>
    </row>
    <row r="547">
      <c r="A547" s="8"/>
      <c r="H547" s="4"/>
    </row>
    <row r="548">
      <c r="A548" s="8"/>
      <c r="H548" s="4"/>
    </row>
    <row r="549">
      <c r="A549" s="8"/>
      <c r="H549" s="4"/>
    </row>
    <row r="550">
      <c r="A550" s="8"/>
      <c r="H550" s="4"/>
    </row>
    <row r="551">
      <c r="A551" s="8"/>
      <c r="H551" s="4"/>
    </row>
    <row r="552">
      <c r="A552" s="8"/>
      <c r="H552" s="4"/>
    </row>
    <row r="553">
      <c r="A553" s="8"/>
      <c r="H553" s="4"/>
    </row>
    <row r="554">
      <c r="A554" s="8"/>
      <c r="H554" s="4"/>
    </row>
    <row r="555">
      <c r="A555" s="8"/>
      <c r="H555" s="4"/>
    </row>
    <row r="556">
      <c r="A556" s="8"/>
      <c r="H556" s="4"/>
    </row>
    <row r="557">
      <c r="A557" s="8"/>
      <c r="H557" s="4"/>
    </row>
    <row r="558">
      <c r="A558" s="8"/>
      <c r="H558" s="4"/>
    </row>
    <row r="559">
      <c r="A559" s="8"/>
      <c r="H559" s="4"/>
    </row>
    <row r="560">
      <c r="A560" s="8"/>
      <c r="H560" s="4"/>
    </row>
    <row r="561">
      <c r="A561" s="8"/>
      <c r="H561" s="4"/>
    </row>
    <row r="562">
      <c r="A562" s="8"/>
      <c r="H562" s="4"/>
    </row>
    <row r="563">
      <c r="A563" s="8"/>
      <c r="H563" s="4"/>
    </row>
    <row r="564">
      <c r="A564" s="8"/>
      <c r="H564" s="4"/>
    </row>
    <row r="565">
      <c r="A565" s="8"/>
      <c r="H565" s="4"/>
    </row>
    <row r="566">
      <c r="A566" s="8"/>
      <c r="H566" s="4"/>
    </row>
    <row r="567">
      <c r="A567" s="8"/>
      <c r="H567" s="4"/>
    </row>
    <row r="568">
      <c r="A568" s="8"/>
      <c r="H568" s="4"/>
    </row>
    <row r="569">
      <c r="A569" s="8"/>
      <c r="H569" s="4"/>
    </row>
    <row r="570">
      <c r="A570" s="8"/>
      <c r="H570" s="4"/>
    </row>
    <row r="571">
      <c r="A571" s="8"/>
      <c r="H571" s="4"/>
    </row>
    <row r="572">
      <c r="A572" s="8"/>
      <c r="H572" s="4"/>
    </row>
    <row r="573">
      <c r="A573" s="8"/>
      <c r="H573" s="4"/>
    </row>
    <row r="574">
      <c r="A574" s="8"/>
      <c r="H574" s="4"/>
    </row>
    <row r="575">
      <c r="A575" s="8"/>
      <c r="H575" s="4"/>
    </row>
    <row r="576">
      <c r="A576" s="8"/>
      <c r="H576" s="4"/>
    </row>
    <row r="577">
      <c r="A577" s="8"/>
      <c r="H577" s="4"/>
    </row>
    <row r="578">
      <c r="A578" s="8"/>
      <c r="H578" s="4"/>
    </row>
    <row r="579">
      <c r="A579" s="8"/>
      <c r="H579" s="4"/>
    </row>
    <row r="580">
      <c r="A580" s="8"/>
      <c r="H580" s="4"/>
    </row>
    <row r="581">
      <c r="A581" s="8"/>
      <c r="H581" s="4"/>
    </row>
    <row r="582">
      <c r="A582" s="8"/>
      <c r="H582" s="4"/>
    </row>
    <row r="583">
      <c r="A583" s="8"/>
      <c r="H583" s="4"/>
    </row>
    <row r="584">
      <c r="A584" s="8"/>
      <c r="H584" s="4"/>
    </row>
    <row r="585">
      <c r="A585" s="8"/>
      <c r="H585" s="4"/>
    </row>
    <row r="586">
      <c r="A586" s="8"/>
      <c r="H586" s="4"/>
    </row>
    <row r="587">
      <c r="A587" s="8"/>
      <c r="H587" s="4"/>
    </row>
    <row r="588">
      <c r="A588" s="8"/>
      <c r="H588" s="4"/>
    </row>
    <row r="589">
      <c r="A589" s="8"/>
      <c r="H589" s="4"/>
    </row>
    <row r="590">
      <c r="A590" s="8"/>
      <c r="H590" s="4"/>
    </row>
    <row r="591">
      <c r="A591" s="8"/>
      <c r="H591" s="4"/>
    </row>
    <row r="592">
      <c r="A592" s="8"/>
      <c r="H592" s="4"/>
    </row>
    <row r="593">
      <c r="A593" s="8"/>
      <c r="H593" s="4"/>
    </row>
    <row r="594">
      <c r="A594" s="8"/>
      <c r="H594" s="4"/>
    </row>
    <row r="595">
      <c r="A595" s="8"/>
      <c r="H595" s="4"/>
    </row>
    <row r="596">
      <c r="A596" s="8"/>
      <c r="H596" s="4"/>
    </row>
    <row r="597">
      <c r="A597" s="8"/>
      <c r="H597" s="4"/>
    </row>
    <row r="598">
      <c r="A598" s="8"/>
      <c r="H598" s="4"/>
    </row>
    <row r="599">
      <c r="A599" s="8"/>
      <c r="H599" s="4"/>
    </row>
    <row r="600">
      <c r="A600" s="8"/>
      <c r="H600" s="4"/>
    </row>
    <row r="601">
      <c r="A601" s="8"/>
      <c r="H601" s="4"/>
    </row>
    <row r="602">
      <c r="A602" s="8"/>
      <c r="H602" s="4"/>
    </row>
    <row r="603">
      <c r="A603" s="8"/>
      <c r="H603" s="4"/>
    </row>
    <row r="604">
      <c r="A604" s="8"/>
      <c r="H604" s="4"/>
    </row>
    <row r="605">
      <c r="A605" s="8"/>
      <c r="H605" s="4"/>
    </row>
    <row r="606">
      <c r="A606" s="8"/>
      <c r="H606" s="4"/>
    </row>
    <row r="607">
      <c r="A607" s="8"/>
      <c r="H607" s="4"/>
    </row>
    <row r="608">
      <c r="A608" s="8"/>
      <c r="H608" s="4"/>
    </row>
    <row r="609">
      <c r="A609" s="8"/>
      <c r="H609" s="4"/>
    </row>
    <row r="610">
      <c r="A610" s="8"/>
      <c r="H610" s="4"/>
    </row>
    <row r="611">
      <c r="A611" s="8"/>
      <c r="H611" s="4"/>
    </row>
    <row r="612">
      <c r="A612" s="8"/>
      <c r="H612" s="4"/>
    </row>
    <row r="613">
      <c r="A613" s="8"/>
      <c r="H613" s="4"/>
    </row>
    <row r="614">
      <c r="A614" s="8"/>
      <c r="H614" s="4"/>
    </row>
    <row r="615">
      <c r="A615" s="8"/>
      <c r="H615" s="4"/>
    </row>
    <row r="616">
      <c r="A616" s="8"/>
      <c r="H616" s="4"/>
    </row>
    <row r="617">
      <c r="A617" s="8"/>
      <c r="H617" s="4"/>
    </row>
    <row r="618">
      <c r="A618" s="8"/>
      <c r="H618" s="4"/>
    </row>
    <row r="619">
      <c r="A619" s="8"/>
      <c r="H619" s="4"/>
    </row>
    <row r="620">
      <c r="A620" s="8"/>
      <c r="H620" s="4"/>
    </row>
    <row r="621">
      <c r="A621" s="8"/>
      <c r="H621" s="4"/>
    </row>
    <row r="622">
      <c r="A622" s="8"/>
      <c r="H622" s="4"/>
    </row>
    <row r="623">
      <c r="A623" s="8"/>
      <c r="H623" s="4"/>
    </row>
    <row r="624">
      <c r="A624" s="8"/>
      <c r="H624" s="4"/>
    </row>
    <row r="625">
      <c r="A625" s="8"/>
      <c r="H625" s="4"/>
    </row>
    <row r="626">
      <c r="A626" s="8"/>
      <c r="H626" s="4"/>
    </row>
    <row r="627">
      <c r="A627" s="8"/>
      <c r="H627" s="4"/>
    </row>
    <row r="628">
      <c r="A628" s="8"/>
      <c r="H628" s="4"/>
    </row>
    <row r="629">
      <c r="A629" s="8"/>
      <c r="H629" s="4"/>
    </row>
    <row r="630">
      <c r="A630" s="8"/>
      <c r="H630" s="4"/>
    </row>
    <row r="631">
      <c r="A631" s="8"/>
      <c r="H631" s="4"/>
    </row>
    <row r="632">
      <c r="A632" s="8"/>
      <c r="H632" s="4"/>
    </row>
    <row r="633">
      <c r="A633" s="8"/>
      <c r="H633" s="4"/>
    </row>
    <row r="634">
      <c r="A634" s="8"/>
      <c r="H634" s="4"/>
    </row>
    <row r="635">
      <c r="A635" s="8"/>
      <c r="H635" s="4"/>
    </row>
    <row r="636">
      <c r="A636" s="8"/>
      <c r="H636" s="4"/>
    </row>
    <row r="637">
      <c r="A637" s="8"/>
      <c r="H637" s="4"/>
    </row>
    <row r="638">
      <c r="A638" s="8"/>
      <c r="H638" s="4"/>
    </row>
    <row r="639">
      <c r="A639" s="8"/>
      <c r="H639" s="4"/>
    </row>
    <row r="640">
      <c r="A640" s="8"/>
      <c r="H640" s="4"/>
    </row>
    <row r="641">
      <c r="A641" s="8"/>
      <c r="H641" s="4"/>
    </row>
    <row r="642">
      <c r="A642" s="8"/>
      <c r="H642" s="4"/>
    </row>
    <row r="643">
      <c r="A643" s="8"/>
      <c r="H643" s="4"/>
    </row>
    <row r="644">
      <c r="A644" s="8"/>
      <c r="H644" s="4"/>
    </row>
    <row r="645">
      <c r="A645" s="8"/>
      <c r="H645" s="4"/>
    </row>
    <row r="646">
      <c r="A646" s="8"/>
      <c r="H646" s="4"/>
    </row>
    <row r="647">
      <c r="A647" s="8"/>
      <c r="H647" s="4"/>
    </row>
    <row r="648">
      <c r="A648" s="8"/>
      <c r="H648" s="4"/>
    </row>
    <row r="649">
      <c r="A649" s="8"/>
      <c r="H649" s="4"/>
    </row>
    <row r="650">
      <c r="A650" s="8"/>
      <c r="H650" s="4"/>
    </row>
    <row r="651">
      <c r="A651" s="8"/>
      <c r="H651" s="4"/>
    </row>
    <row r="652">
      <c r="A652" s="8"/>
      <c r="H652" s="4"/>
    </row>
    <row r="653">
      <c r="A653" s="8"/>
      <c r="H653" s="4"/>
    </row>
    <row r="654">
      <c r="A654" s="8"/>
      <c r="H654" s="4"/>
    </row>
    <row r="655">
      <c r="A655" s="8"/>
      <c r="H655" s="4"/>
    </row>
    <row r="656">
      <c r="A656" s="8"/>
      <c r="H656" s="4"/>
    </row>
    <row r="657">
      <c r="A657" s="8"/>
      <c r="H657" s="4"/>
    </row>
    <row r="658">
      <c r="A658" s="8"/>
      <c r="H658" s="4"/>
    </row>
    <row r="659">
      <c r="A659" s="8"/>
      <c r="H659" s="4"/>
    </row>
    <row r="660">
      <c r="A660" s="8"/>
      <c r="H660" s="4"/>
    </row>
    <row r="661">
      <c r="A661" s="8"/>
      <c r="H661" s="4"/>
    </row>
    <row r="662">
      <c r="A662" s="8"/>
      <c r="H662" s="4"/>
    </row>
    <row r="663">
      <c r="A663" s="8"/>
      <c r="H663" s="4"/>
    </row>
    <row r="664">
      <c r="A664" s="8"/>
      <c r="H664" s="4"/>
    </row>
    <row r="665">
      <c r="A665" s="8"/>
      <c r="H665" s="4"/>
    </row>
    <row r="666">
      <c r="A666" s="8"/>
      <c r="H666" s="4"/>
    </row>
    <row r="667">
      <c r="A667" s="8"/>
      <c r="H667" s="4"/>
    </row>
    <row r="668">
      <c r="A668" s="8"/>
      <c r="H668" s="4"/>
    </row>
    <row r="669">
      <c r="A669" s="8"/>
      <c r="H669" s="4"/>
    </row>
    <row r="670">
      <c r="A670" s="8"/>
      <c r="H670" s="4"/>
    </row>
    <row r="671">
      <c r="A671" s="8"/>
      <c r="H671" s="4"/>
    </row>
    <row r="672">
      <c r="A672" s="8"/>
      <c r="H672" s="4"/>
    </row>
    <row r="673">
      <c r="A673" s="8"/>
      <c r="H673" s="4"/>
    </row>
    <row r="674">
      <c r="A674" s="8"/>
      <c r="H674" s="4"/>
    </row>
    <row r="675">
      <c r="A675" s="8"/>
      <c r="H675" s="4"/>
    </row>
    <row r="676">
      <c r="A676" s="8"/>
      <c r="H676" s="4"/>
    </row>
    <row r="677">
      <c r="A677" s="8"/>
      <c r="H677" s="4"/>
    </row>
    <row r="678">
      <c r="A678" s="8"/>
      <c r="H678" s="4"/>
    </row>
    <row r="679">
      <c r="A679" s="8"/>
      <c r="H679" s="4"/>
    </row>
    <row r="680">
      <c r="A680" s="8"/>
      <c r="H680" s="4"/>
    </row>
    <row r="681">
      <c r="A681" s="8"/>
      <c r="H681" s="4"/>
    </row>
    <row r="682">
      <c r="A682" s="8"/>
      <c r="H682" s="4"/>
    </row>
    <row r="683">
      <c r="A683" s="8"/>
      <c r="H683" s="4"/>
    </row>
    <row r="684">
      <c r="A684" s="8"/>
      <c r="H684" s="4"/>
    </row>
    <row r="685">
      <c r="A685" s="8"/>
      <c r="H685" s="4"/>
    </row>
    <row r="686">
      <c r="A686" s="8"/>
      <c r="H686" s="4"/>
    </row>
    <row r="687">
      <c r="A687" s="8"/>
      <c r="H687" s="4"/>
    </row>
    <row r="688">
      <c r="A688" s="8"/>
      <c r="H688" s="4"/>
    </row>
    <row r="689">
      <c r="A689" s="8"/>
      <c r="H689" s="4"/>
    </row>
    <row r="690">
      <c r="A690" s="8"/>
      <c r="H690" s="4"/>
    </row>
    <row r="691">
      <c r="A691" s="8"/>
      <c r="H691" s="4"/>
    </row>
    <row r="692">
      <c r="A692" s="8"/>
      <c r="H692" s="4"/>
    </row>
    <row r="693">
      <c r="A693" s="8"/>
      <c r="H693" s="4"/>
    </row>
    <row r="694">
      <c r="A694" s="8"/>
      <c r="H694" s="4"/>
    </row>
    <row r="695">
      <c r="A695" s="8"/>
      <c r="H695" s="4"/>
    </row>
    <row r="696">
      <c r="A696" s="8"/>
      <c r="H696" s="4"/>
    </row>
    <row r="697">
      <c r="A697" s="8"/>
      <c r="H697" s="4"/>
    </row>
    <row r="698">
      <c r="A698" s="8"/>
      <c r="H698" s="4"/>
    </row>
    <row r="699">
      <c r="A699" s="8"/>
      <c r="H699" s="4"/>
    </row>
    <row r="700">
      <c r="A700" s="8"/>
      <c r="H700" s="4"/>
    </row>
    <row r="701">
      <c r="A701" s="8"/>
      <c r="H701" s="4"/>
    </row>
    <row r="702">
      <c r="A702" s="8"/>
      <c r="H702" s="4"/>
    </row>
    <row r="703">
      <c r="A703" s="8"/>
      <c r="H703" s="4"/>
    </row>
    <row r="704">
      <c r="A704" s="8"/>
      <c r="H704" s="4"/>
    </row>
    <row r="705">
      <c r="A705" s="8"/>
      <c r="H705" s="4"/>
    </row>
    <row r="706">
      <c r="A706" s="8"/>
      <c r="H706" s="4"/>
    </row>
    <row r="707">
      <c r="A707" s="8"/>
      <c r="H707" s="4"/>
    </row>
    <row r="708">
      <c r="A708" s="8"/>
      <c r="H708" s="4"/>
    </row>
    <row r="709">
      <c r="A709" s="8"/>
      <c r="H709" s="4"/>
    </row>
    <row r="710">
      <c r="A710" s="8"/>
      <c r="H710" s="4"/>
    </row>
    <row r="711">
      <c r="A711" s="8"/>
      <c r="H711" s="4"/>
    </row>
    <row r="712">
      <c r="A712" s="8"/>
      <c r="H712" s="4"/>
    </row>
    <row r="713">
      <c r="A713" s="8"/>
      <c r="H713" s="4"/>
    </row>
    <row r="714">
      <c r="A714" s="8"/>
      <c r="H714" s="4"/>
    </row>
    <row r="715">
      <c r="A715" s="8"/>
      <c r="H715" s="4"/>
    </row>
    <row r="716">
      <c r="A716" s="8"/>
      <c r="H716" s="4"/>
    </row>
    <row r="717">
      <c r="A717" s="8"/>
      <c r="H717" s="4"/>
    </row>
    <row r="718">
      <c r="A718" s="8"/>
      <c r="H718" s="4"/>
    </row>
    <row r="719">
      <c r="A719" s="8"/>
      <c r="H719" s="4"/>
    </row>
    <row r="720">
      <c r="A720" s="8"/>
      <c r="H720" s="4"/>
    </row>
    <row r="721">
      <c r="A721" s="8"/>
      <c r="H721" s="4"/>
    </row>
    <row r="722">
      <c r="A722" s="8"/>
      <c r="H722" s="4"/>
    </row>
    <row r="723">
      <c r="A723" s="8"/>
      <c r="H723" s="4"/>
    </row>
    <row r="724">
      <c r="A724" s="8"/>
      <c r="H724" s="4"/>
    </row>
    <row r="725">
      <c r="A725" s="8"/>
      <c r="H725" s="4"/>
    </row>
    <row r="726">
      <c r="A726" s="8"/>
      <c r="H726" s="4"/>
    </row>
    <row r="727">
      <c r="A727" s="8"/>
      <c r="H727" s="4"/>
    </row>
    <row r="728">
      <c r="A728" s="8"/>
      <c r="H728" s="4"/>
    </row>
    <row r="729">
      <c r="A729" s="8"/>
      <c r="H729" s="4"/>
    </row>
    <row r="730">
      <c r="A730" s="8"/>
      <c r="H730" s="4"/>
    </row>
    <row r="731">
      <c r="A731" s="8"/>
      <c r="H731" s="4"/>
    </row>
    <row r="732">
      <c r="A732" s="8"/>
      <c r="H732" s="4"/>
    </row>
    <row r="733">
      <c r="A733" s="8"/>
      <c r="H733" s="4"/>
    </row>
    <row r="734">
      <c r="A734" s="8"/>
      <c r="H734" s="4"/>
    </row>
    <row r="735">
      <c r="A735" s="8"/>
      <c r="H735" s="4"/>
    </row>
    <row r="736">
      <c r="A736" s="8"/>
      <c r="H736" s="4"/>
    </row>
    <row r="737">
      <c r="A737" s="8"/>
      <c r="H737" s="4"/>
    </row>
    <row r="738">
      <c r="A738" s="8"/>
      <c r="H738" s="4"/>
    </row>
    <row r="739">
      <c r="A739" s="8"/>
      <c r="H739" s="4"/>
    </row>
    <row r="740">
      <c r="A740" s="8"/>
      <c r="H740" s="4"/>
    </row>
    <row r="741">
      <c r="A741" s="8"/>
      <c r="H741" s="4"/>
    </row>
    <row r="742">
      <c r="A742" s="8"/>
      <c r="H742" s="4"/>
    </row>
    <row r="743">
      <c r="A743" s="8"/>
      <c r="H743" s="4"/>
    </row>
    <row r="744">
      <c r="A744" s="8"/>
      <c r="H744" s="4"/>
    </row>
    <row r="745">
      <c r="A745" s="8"/>
      <c r="H745" s="4"/>
    </row>
    <row r="746">
      <c r="A746" s="8"/>
      <c r="H746" s="4"/>
    </row>
    <row r="747">
      <c r="A747" s="8"/>
      <c r="H747" s="4"/>
    </row>
    <row r="748">
      <c r="A748" s="8"/>
      <c r="H748" s="4"/>
    </row>
    <row r="749">
      <c r="A749" s="8"/>
      <c r="H749" s="4"/>
    </row>
    <row r="750">
      <c r="A750" s="8"/>
      <c r="H750" s="4"/>
    </row>
    <row r="751">
      <c r="A751" s="8"/>
      <c r="H751" s="4"/>
    </row>
    <row r="752">
      <c r="A752" s="8"/>
      <c r="H752" s="4"/>
    </row>
    <row r="753">
      <c r="A753" s="8"/>
      <c r="H753" s="4"/>
    </row>
    <row r="754">
      <c r="A754" s="8"/>
      <c r="H754" s="4"/>
    </row>
    <row r="755">
      <c r="A755" s="8"/>
      <c r="H755" s="4"/>
    </row>
    <row r="756">
      <c r="A756" s="8"/>
      <c r="H756" s="4"/>
    </row>
    <row r="757">
      <c r="A757" s="8"/>
      <c r="H757" s="4"/>
    </row>
    <row r="758">
      <c r="A758" s="8"/>
      <c r="H758" s="4"/>
    </row>
    <row r="759">
      <c r="A759" s="8"/>
      <c r="H759" s="4"/>
    </row>
    <row r="760">
      <c r="A760" s="8"/>
      <c r="H760" s="4"/>
    </row>
    <row r="761">
      <c r="A761" s="8"/>
      <c r="H761" s="4"/>
    </row>
    <row r="762">
      <c r="A762" s="8"/>
      <c r="H762" s="4"/>
    </row>
    <row r="763">
      <c r="A763" s="8"/>
      <c r="H763" s="4"/>
    </row>
    <row r="764">
      <c r="A764" s="8"/>
      <c r="H764" s="4"/>
    </row>
    <row r="765">
      <c r="A765" s="8"/>
      <c r="H765" s="4"/>
    </row>
    <row r="766">
      <c r="A766" s="8"/>
      <c r="H766" s="4"/>
    </row>
    <row r="767">
      <c r="A767" s="8"/>
      <c r="H767" s="4"/>
    </row>
    <row r="768">
      <c r="A768" s="8"/>
      <c r="H768" s="4"/>
    </row>
    <row r="769">
      <c r="A769" s="8"/>
      <c r="H769" s="4"/>
    </row>
    <row r="770">
      <c r="A770" s="8"/>
      <c r="H770" s="4"/>
    </row>
    <row r="771">
      <c r="A771" s="8"/>
      <c r="H771" s="4"/>
    </row>
    <row r="772">
      <c r="A772" s="8"/>
      <c r="H772" s="4"/>
    </row>
    <row r="773">
      <c r="A773" s="8"/>
      <c r="H773" s="4"/>
    </row>
    <row r="774">
      <c r="A774" s="8"/>
      <c r="H774" s="4"/>
    </row>
    <row r="775">
      <c r="A775" s="8"/>
      <c r="H775" s="4"/>
    </row>
    <row r="776">
      <c r="A776" s="8"/>
      <c r="H776" s="4"/>
    </row>
    <row r="777">
      <c r="A777" s="8"/>
      <c r="H777" s="4"/>
    </row>
    <row r="778">
      <c r="A778" s="8"/>
      <c r="H778" s="4"/>
    </row>
    <row r="779">
      <c r="A779" s="8"/>
      <c r="H779" s="4"/>
    </row>
    <row r="780">
      <c r="A780" s="8"/>
      <c r="H780" s="4"/>
    </row>
    <row r="781">
      <c r="A781" s="8"/>
      <c r="H781" s="4"/>
    </row>
    <row r="782">
      <c r="A782" s="8"/>
      <c r="H782" s="4"/>
    </row>
    <row r="783">
      <c r="A783" s="8"/>
      <c r="H783" s="4"/>
    </row>
    <row r="784">
      <c r="A784" s="8"/>
      <c r="H784" s="4"/>
    </row>
    <row r="785">
      <c r="A785" s="8"/>
      <c r="H785" s="4"/>
    </row>
    <row r="786">
      <c r="A786" s="8"/>
      <c r="H786" s="4"/>
    </row>
    <row r="787">
      <c r="A787" s="8"/>
      <c r="H787" s="4"/>
    </row>
    <row r="788">
      <c r="A788" s="8"/>
      <c r="H788" s="4"/>
    </row>
    <row r="789">
      <c r="A789" s="8"/>
      <c r="H789" s="4"/>
    </row>
    <row r="790">
      <c r="A790" s="8"/>
      <c r="H790" s="4"/>
    </row>
    <row r="791">
      <c r="A791" s="8"/>
      <c r="H791" s="4"/>
    </row>
    <row r="792">
      <c r="A792" s="8"/>
      <c r="H792" s="4"/>
    </row>
    <row r="793">
      <c r="A793" s="8"/>
      <c r="H793" s="4"/>
    </row>
    <row r="794">
      <c r="A794" s="8"/>
      <c r="H794" s="4"/>
    </row>
    <row r="795">
      <c r="A795" s="8"/>
      <c r="H795" s="4"/>
    </row>
    <row r="796">
      <c r="A796" s="8"/>
      <c r="H796" s="4"/>
    </row>
    <row r="797">
      <c r="A797" s="8"/>
      <c r="H797" s="4"/>
    </row>
    <row r="798">
      <c r="A798" s="8"/>
      <c r="H798" s="4"/>
    </row>
    <row r="799">
      <c r="A799" s="8"/>
      <c r="H799" s="4"/>
    </row>
    <row r="800">
      <c r="A800" s="8"/>
      <c r="H800" s="4"/>
    </row>
    <row r="801">
      <c r="A801" s="8"/>
      <c r="H801" s="4"/>
    </row>
    <row r="802">
      <c r="A802" s="8"/>
      <c r="H802" s="4"/>
    </row>
    <row r="803">
      <c r="A803" s="8"/>
      <c r="H803" s="4"/>
    </row>
    <row r="804">
      <c r="A804" s="8"/>
      <c r="H804" s="4"/>
    </row>
    <row r="805">
      <c r="A805" s="8"/>
      <c r="H805" s="4"/>
    </row>
    <row r="806">
      <c r="A806" s="8"/>
      <c r="H806" s="4"/>
    </row>
    <row r="807">
      <c r="A807" s="8"/>
      <c r="H807" s="4"/>
    </row>
    <row r="808">
      <c r="A808" s="8"/>
      <c r="H808" s="4"/>
    </row>
    <row r="809">
      <c r="A809" s="8"/>
      <c r="H809" s="4"/>
    </row>
    <row r="810">
      <c r="A810" s="8"/>
      <c r="H810" s="4"/>
    </row>
    <row r="811">
      <c r="A811" s="8"/>
      <c r="H811" s="4"/>
    </row>
    <row r="812">
      <c r="A812" s="8"/>
      <c r="H812" s="4"/>
    </row>
    <row r="813">
      <c r="A813" s="8"/>
      <c r="H813" s="4"/>
    </row>
    <row r="814">
      <c r="A814" s="8"/>
      <c r="H814" s="4"/>
    </row>
    <row r="815">
      <c r="A815" s="8"/>
      <c r="H815" s="4"/>
    </row>
    <row r="816">
      <c r="A816" s="8"/>
      <c r="H816" s="4"/>
    </row>
    <row r="817">
      <c r="A817" s="8"/>
      <c r="H817" s="4"/>
    </row>
    <row r="818">
      <c r="A818" s="8"/>
      <c r="H818" s="4"/>
    </row>
    <row r="819">
      <c r="A819" s="8"/>
      <c r="H819" s="4"/>
    </row>
    <row r="820">
      <c r="A820" s="8"/>
      <c r="H820" s="4"/>
    </row>
    <row r="821">
      <c r="A821" s="8"/>
      <c r="H821" s="4"/>
    </row>
    <row r="822">
      <c r="A822" s="8"/>
      <c r="H822" s="4"/>
    </row>
    <row r="823">
      <c r="A823" s="8"/>
      <c r="H823" s="4"/>
    </row>
    <row r="824">
      <c r="A824" s="8"/>
      <c r="H824" s="4"/>
    </row>
    <row r="825">
      <c r="A825" s="8"/>
      <c r="H825" s="4"/>
    </row>
    <row r="826">
      <c r="A826" s="8"/>
      <c r="H826" s="4"/>
    </row>
    <row r="827">
      <c r="A827" s="8"/>
      <c r="H827" s="4"/>
    </row>
    <row r="828">
      <c r="A828" s="8"/>
      <c r="H828" s="4"/>
    </row>
    <row r="829">
      <c r="A829" s="8"/>
      <c r="H829" s="4"/>
    </row>
    <row r="830">
      <c r="A830" s="8"/>
      <c r="H830" s="4"/>
    </row>
    <row r="831">
      <c r="A831" s="8"/>
      <c r="H831" s="4"/>
    </row>
    <row r="832">
      <c r="A832" s="8"/>
      <c r="H832" s="4"/>
    </row>
    <row r="833">
      <c r="A833" s="8"/>
      <c r="H833" s="4"/>
    </row>
    <row r="834">
      <c r="A834" s="8"/>
      <c r="H834" s="4"/>
    </row>
    <row r="835">
      <c r="A835" s="8"/>
      <c r="H835" s="4"/>
    </row>
    <row r="836">
      <c r="A836" s="8"/>
      <c r="H836" s="4"/>
    </row>
    <row r="837">
      <c r="A837" s="8"/>
      <c r="H837" s="4"/>
    </row>
    <row r="838">
      <c r="A838" s="8"/>
      <c r="H838" s="4"/>
    </row>
    <row r="839">
      <c r="A839" s="8"/>
      <c r="H839" s="4"/>
    </row>
    <row r="840">
      <c r="A840" s="8"/>
      <c r="H840" s="4"/>
    </row>
    <row r="841">
      <c r="A841" s="8"/>
      <c r="H841" s="4"/>
    </row>
    <row r="842">
      <c r="A842" s="8"/>
      <c r="H842" s="4"/>
    </row>
    <row r="843">
      <c r="A843" s="8"/>
      <c r="H843" s="4"/>
    </row>
    <row r="844">
      <c r="A844" s="8"/>
      <c r="H844" s="4"/>
    </row>
    <row r="845">
      <c r="A845" s="8"/>
      <c r="H845" s="4"/>
    </row>
    <row r="846">
      <c r="A846" s="8"/>
      <c r="H846" s="4"/>
    </row>
    <row r="847">
      <c r="A847" s="8"/>
      <c r="H847" s="4"/>
    </row>
    <row r="848">
      <c r="A848" s="8"/>
      <c r="H848" s="4"/>
    </row>
    <row r="849">
      <c r="A849" s="8"/>
      <c r="H849" s="4"/>
    </row>
    <row r="850">
      <c r="A850" s="8"/>
      <c r="H850" s="4"/>
    </row>
    <row r="851">
      <c r="A851" s="8"/>
      <c r="H851" s="4"/>
    </row>
    <row r="852">
      <c r="A852" s="8"/>
      <c r="H852" s="4"/>
    </row>
    <row r="853">
      <c r="A853" s="8"/>
      <c r="H853" s="4"/>
    </row>
    <row r="854">
      <c r="A854" s="8"/>
      <c r="H854" s="4"/>
    </row>
    <row r="855">
      <c r="A855" s="8"/>
      <c r="H855" s="4"/>
    </row>
    <row r="856">
      <c r="A856" s="8"/>
      <c r="H856" s="4"/>
    </row>
    <row r="857">
      <c r="A857" s="8"/>
      <c r="H857" s="4"/>
    </row>
    <row r="858">
      <c r="A858" s="8"/>
      <c r="H858" s="4"/>
    </row>
    <row r="859">
      <c r="A859" s="8"/>
      <c r="H859" s="4"/>
    </row>
    <row r="860">
      <c r="A860" s="8"/>
      <c r="H860" s="4"/>
    </row>
    <row r="861">
      <c r="A861" s="8"/>
      <c r="H861" s="4"/>
    </row>
    <row r="862">
      <c r="A862" s="8"/>
      <c r="H862" s="4"/>
    </row>
    <row r="863">
      <c r="A863" s="8"/>
      <c r="H863" s="4"/>
    </row>
    <row r="864">
      <c r="A864" s="8"/>
      <c r="H864" s="4"/>
    </row>
    <row r="865">
      <c r="A865" s="8"/>
      <c r="H865" s="4"/>
    </row>
    <row r="866">
      <c r="A866" s="8"/>
      <c r="H866" s="4"/>
    </row>
    <row r="867">
      <c r="A867" s="8"/>
      <c r="H867" s="4"/>
    </row>
    <row r="868">
      <c r="A868" s="8"/>
      <c r="H868" s="4"/>
    </row>
    <row r="869">
      <c r="A869" s="8"/>
      <c r="H869" s="4"/>
    </row>
    <row r="870">
      <c r="A870" s="8"/>
      <c r="H870" s="4"/>
    </row>
    <row r="871">
      <c r="A871" s="8"/>
      <c r="H871" s="4"/>
    </row>
    <row r="872">
      <c r="A872" s="8"/>
      <c r="H872" s="4"/>
    </row>
    <row r="873">
      <c r="A873" s="8"/>
      <c r="H873" s="4"/>
    </row>
    <row r="874">
      <c r="A874" s="8"/>
      <c r="H874" s="4"/>
    </row>
    <row r="875">
      <c r="A875" s="8"/>
      <c r="H875" s="4"/>
    </row>
    <row r="876">
      <c r="A876" s="8"/>
      <c r="H876" s="4"/>
    </row>
    <row r="877">
      <c r="A877" s="8"/>
      <c r="H877" s="4"/>
    </row>
    <row r="878">
      <c r="A878" s="8"/>
      <c r="H878" s="4"/>
    </row>
    <row r="879">
      <c r="A879" s="8"/>
      <c r="H879" s="4"/>
    </row>
    <row r="880">
      <c r="A880" s="8"/>
      <c r="H880" s="4"/>
    </row>
    <row r="881">
      <c r="A881" s="8"/>
      <c r="H881" s="4"/>
    </row>
    <row r="882">
      <c r="A882" s="8"/>
      <c r="H882" s="4"/>
    </row>
    <row r="883">
      <c r="A883" s="8"/>
      <c r="H883" s="4"/>
    </row>
    <row r="884">
      <c r="A884" s="8"/>
      <c r="H884" s="4"/>
    </row>
    <row r="885">
      <c r="A885" s="8"/>
      <c r="H885" s="4"/>
    </row>
    <row r="886">
      <c r="A886" s="8"/>
      <c r="H886" s="4"/>
    </row>
    <row r="887">
      <c r="A887" s="8"/>
      <c r="H887" s="4"/>
    </row>
    <row r="888">
      <c r="A888" s="8"/>
      <c r="H888" s="4"/>
    </row>
    <row r="889">
      <c r="A889" s="8"/>
      <c r="H889" s="4"/>
    </row>
    <row r="890">
      <c r="A890" s="8"/>
      <c r="H890" s="4"/>
    </row>
    <row r="891">
      <c r="A891" s="8"/>
      <c r="H891" s="4"/>
    </row>
    <row r="892">
      <c r="A892" s="8"/>
      <c r="H892" s="4"/>
    </row>
    <row r="893">
      <c r="A893" s="8"/>
      <c r="H893" s="4"/>
    </row>
    <row r="894">
      <c r="A894" s="8"/>
      <c r="H894" s="4"/>
    </row>
    <row r="895">
      <c r="A895" s="8"/>
      <c r="H895" s="4"/>
    </row>
    <row r="896">
      <c r="A896" s="8"/>
      <c r="H896" s="4"/>
    </row>
    <row r="897">
      <c r="A897" s="8"/>
      <c r="H897" s="4"/>
    </row>
    <row r="898">
      <c r="A898" s="8"/>
      <c r="H898" s="4"/>
    </row>
    <row r="899">
      <c r="A899" s="8"/>
      <c r="H899" s="4"/>
    </row>
    <row r="900">
      <c r="A900" s="8"/>
      <c r="H900" s="4"/>
    </row>
    <row r="901">
      <c r="A901" s="8"/>
      <c r="H901" s="4"/>
    </row>
    <row r="902">
      <c r="A902" s="8"/>
      <c r="H902" s="4"/>
    </row>
    <row r="903">
      <c r="A903" s="8"/>
      <c r="H903" s="4"/>
    </row>
    <row r="904">
      <c r="A904" s="8"/>
      <c r="H904" s="4"/>
    </row>
    <row r="905">
      <c r="A905" s="8"/>
      <c r="H905" s="4"/>
    </row>
    <row r="906">
      <c r="A906" s="8"/>
      <c r="H906" s="4"/>
    </row>
    <row r="907">
      <c r="A907" s="8"/>
      <c r="H907" s="4"/>
    </row>
    <row r="908">
      <c r="A908" s="8"/>
      <c r="H908" s="4"/>
    </row>
    <row r="909">
      <c r="A909" s="8"/>
      <c r="H909" s="4"/>
    </row>
    <row r="910">
      <c r="A910" s="8"/>
      <c r="H910" s="4"/>
    </row>
    <row r="911">
      <c r="A911" s="8"/>
      <c r="H911" s="4"/>
    </row>
    <row r="912">
      <c r="A912" s="8"/>
      <c r="H912" s="4"/>
    </row>
    <row r="913">
      <c r="A913" s="8"/>
      <c r="H913" s="4"/>
    </row>
    <row r="914">
      <c r="A914" s="8"/>
      <c r="H914" s="4"/>
    </row>
    <row r="915">
      <c r="A915" s="8"/>
      <c r="H915" s="4"/>
    </row>
    <row r="916">
      <c r="A916" s="8"/>
      <c r="H916" s="4"/>
    </row>
    <row r="917">
      <c r="A917" s="8"/>
      <c r="H917" s="4"/>
    </row>
    <row r="918">
      <c r="A918" s="8"/>
      <c r="H918" s="4"/>
    </row>
    <row r="919">
      <c r="A919" s="8"/>
      <c r="H919" s="4"/>
    </row>
    <row r="920">
      <c r="A920" s="8"/>
      <c r="H920" s="4"/>
    </row>
    <row r="921">
      <c r="A921" s="8"/>
      <c r="H921" s="4"/>
    </row>
    <row r="922">
      <c r="A922" s="8"/>
      <c r="H922" s="4"/>
    </row>
    <row r="923">
      <c r="A923" s="8"/>
      <c r="H923" s="4"/>
    </row>
    <row r="924">
      <c r="A924" s="8"/>
      <c r="H924" s="4"/>
    </row>
    <row r="925">
      <c r="A925" s="8"/>
      <c r="H925" s="4"/>
    </row>
    <row r="926">
      <c r="A926" s="8"/>
      <c r="H926" s="4"/>
    </row>
    <row r="927">
      <c r="A927" s="8"/>
      <c r="H927" s="4"/>
    </row>
    <row r="928">
      <c r="A928" s="8"/>
      <c r="H928" s="4"/>
    </row>
    <row r="929">
      <c r="A929" s="8"/>
      <c r="H929" s="4"/>
    </row>
    <row r="930">
      <c r="A930" s="8"/>
      <c r="H930" s="4"/>
    </row>
    <row r="931">
      <c r="A931" s="8"/>
      <c r="H931" s="4"/>
    </row>
    <row r="932">
      <c r="A932" s="8"/>
      <c r="H932" s="4"/>
    </row>
    <row r="933">
      <c r="A933" s="8"/>
      <c r="H933" s="4"/>
    </row>
    <row r="934">
      <c r="A934" s="8"/>
      <c r="H934" s="4"/>
    </row>
    <row r="935">
      <c r="A935" s="8"/>
      <c r="H935" s="4"/>
    </row>
    <row r="936">
      <c r="A936" s="8"/>
      <c r="H936" s="4"/>
    </row>
    <row r="937">
      <c r="A937" s="8"/>
      <c r="H937" s="4"/>
    </row>
    <row r="938">
      <c r="A938" s="8"/>
      <c r="H938" s="4"/>
    </row>
    <row r="939">
      <c r="A939" s="8"/>
      <c r="H939" s="4"/>
    </row>
    <row r="940">
      <c r="A940" s="8"/>
      <c r="H940" s="4"/>
    </row>
    <row r="941">
      <c r="A941" s="8"/>
      <c r="H941" s="4"/>
    </row>
    <row r="942">
      <c r="A942" s="8"/>
      <c r="H942" s="4"/>
    </row>
    <row r="943">
      <c r="A943" s="8"/>
      <c r="H943" s="4"/>
    </row>
    <row r="944">
      <c r="A944" s="8"/>
      <c r="H944" s="4"/>
    </row>
    <row r="945">
      <c r="A945" s="8"/>
      <c r="H945" s="4"/>
    </row>
    <row r="946">
      <c r="A946" s="8"/>
      <c r="H946" s="4"/>
    </row>
    <row r="947">
      <c r="A947" s="8"/>
      <c r="H947" s="4"/>
    </row>
    <row r="948">
      <c r="A948" s="8"/>
      <c r="H948" s="4"/>
    </row>
    <row r="949">
      <c r="A949" s="8"/>
      <c r="H949" s="4"/>
    </row>
    <row r="950">
      <c r="A950" s="8"/>
      <c r="H950" s="4"/>
    </row>
    <row r="951">
      <c r="A951" s="8"/>
      <c r="H951" s="4"/>
    </row>
    <row r="952">
      <c r="A952" s="8"/>
      <c r="H952" s="4"/>
    </row>
    <row r="953">
      <c r="A953" s="8"/>
      <c r="H953" s="4"/>
    </row>
    <row r="954">
      <c r="A954" s="8"/>
      <c r="H954" s="4"/>
    </row>
    <row r="955">
      <c r="A955" s="8"/>
      <c r="H955" s="4"/>
    </row>
    <row r="956">
      <c r="A956" s="8"/>
      <c r="H956" s="4"/>
    </row>
    <row r="957">
      <c r="A957" s="8"/>
      <c r="H957" s="4"/>
    </row>
    <row r="958">
      <c r="A958" s="8"/>
      <c r="H958" s="4"/>
    </row>
    <row r="959">
      <c r="A959" s="8"/>
      <c r="H959" s="4"/>
    </row>
    <row r="960">
      <c r="A960" s="8"/>
      <c r="H960" s="4"/>
    </row>
    <row r="961">
      <c r="A961" s="8"/>
      <c r="H961" s="4"/>
    </row>
    <row r="962">
      <c r="A962" s="8"/>
      <c r="H962" s="4"/>
    </row>
    <row r="963">
      <c r="A963" s="8"/>
      <c r="H963" s="4"/>
    </row>
    <row r="964">
      <c r="A964" s="8"/>
      <c r="H964" s="4"/>
    </row>
    <row r="965">
      <c r="A965" s="8"/>
      <c r="H965" s="4"/>
    </row>
    <row r="966">
      <c r="A966" s="8"/>
      <c r="H966" s="4"/>
    </row>
    <row r="967">
      <c r="A967" s="8"/>
      <c r="H967" s="4"/>
    </row>
    <row r="968">
      <c r="A968" s="8"/>
      <c r="H968" s="4"/>
    </row>
    <row r="969">
      <c r="A969" s="8"/>
      <c r="H969" s="4"/>
    </row>
    <row r="970">
      <c r="A970" s="8"/>
      <c r="H970" s="4"/>
    </row>
    <row r="971">
      <c r="A971" s="8"/>
      <c r="H971" s="4"/>
    </row>
    <row r="972">
      <c r="A972" s="8"/>
      <c r="H972" s="4"/>
    </row>
    <row r="973">
      <c r="A973" s="8"/>
      <c r="H973" s="4"/>
    </row>
    <row r="974">
      <c r="A974" s="8"/>
      <c r="H974" s="4"/>
    </row>
    <row r="975">
      <c r="A975" s="8"/>
      <c r="H975" s="4"/>
    </row>
    <row r="976">
      <c r="A976" s="8"/>
      <c r="H976" s="4"/>
    </row>
    <row r="977">
      <c r="A977" s="8"/>
      <c r="H977" s="4"/>
    </row>
    <row r="978">
      <c r="A978" s="8"/>
      <c r="H978" s="4"/>
    </row>
    <row r="979">
      <c r="A979" s="8"/>
      <c r="H979" s="4"/>
    </row>
    <row r="980">
      <c r="A980" s="8"/>
      <c r="H980" s="4"/>
    </row>
    <row r="981">
      <c r="A981" s="8"/>
      <c r="H981" s="4"/>
    </row>
    <row r="982">
      <c r="A982" s="8"/>
      <c r="H982" s="4"/>
    </row>
    <row r="983">
      <c r="A983" s="8"/>
      <c r="H983" s="4"/>
    </row>
    <row r="984">
      <c r="A984" s="8"/>
      <c r="H984" s="4"/>
    </row>
    <row r="985">
      <c r="A985" s="8"/>
      <c r="H985" s="4"/>
    </row>
    <row r="986">
      <c r="A986" s="8"/>
      <c r="H986" s="4"/>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row r="1003">
      <c r="A1003" s="8"/>
    </row>
    <row r="1004">
      <c r="A1004" s="8"/>
    </row>
    <row r="1005">
      <c r="A1005" s="8"/>
    </row>
    <row r="1006">
      <c r="A1006" s="8"/>
    </row>
    <row r="1007">
      <c r="A1007" s="8"/>
    </row>
    <row r="1008">
      <c r="A1008" s="8"/>
    </row>
    <row r="1009">
      <c r="A1009" s="8"/>
    </row>
    <row r="1010">
      <c r="A1010" s="8"/>
    </row>
    <row r="1011">
      <c r="A1011" s="8"/>
    </row>
    <row r="1012">
      <c r="A1012" s="8"/>
    </row>
    <row r="1013">
      <c r="A1013" s="8"/>
    </row>
    <row r="1014">
      <c r="A1014" s="8"/>
    </row>
    <row r="1015">
      <c r="A1015" s="8"/>
    </row>
    <row r="1016">
      <c r="A1016" s="8"/>
    </row>
    <row r="1017">
      <c r="A1017" s="8"/>
    </row>
    <row r="1018">
      <c r="A1018" s="8"/>
    </row>
    <row r="1019">
      <c r="A1019" s="8"/>
    </row>
    <row r="1020">
      <c r="A1020" s="8"/>
    </row>
    <row r="1021">
      <c r="A1021" s="8"/>
    </row>
    <row r="1022">
      <c r="A1022" s="8"/>
    </row>
    <row r="1023">
      <c r="A1023" s="8"/>
    </row>
    <row r="1024">
      <c r="A1024" s="8"/>
    </row>
    <row r="1025">
      <c r="A1025" s="8"/>
    </row>
    <row r="1026">
      <c r="A1026" s="8"/>
    </row>
    <row r="1027">
      <c r="A1027" s="8"/>
    </row>
    <row r="1028">
      <c r="A1028" s="8"/>
    </row>
    <row r="1029">
      <c r="A1029" s="8"/>
    </row>
    <row r="1030">
      <c r="A1030" s="8"/>
    </row>
    <row r="1031">
      <c r="A1031" s="8"/>
    </row>
    <row r="1032">
      <c r="A1032" s="8"/>
    </row>
    <row r="1033">
      <c r="A1033" s="8"/>
    </row>
    <row r="1034">
      <c r="A1034" s="8"/>
    </row>
    <row r="1035">
      <c r="A1035" s="8"/>
    </row>
    <row r="1036">
      <c r="A1036" s="8"/>
    </row>
    <row r="1037">
      <c r="A1037" s="8"/>
    </row>
    <row r="1038">
      <c r="A1038" s="8"/>
    </row>
    <row r="1039">
      <c r="A1039" s="8"/>
      <c r="B1039" s="8"/>
    </row>
    <row r="1040">
      <c r="A1040" s="8"/>
      <c r="B1040" s="8"/>
    </row>
    <row r="1041">
      <c r="A1041" s="8"/>
      <c r="B1041" s="8"/>
    </row>
    <row r="1042">
      <c r="A1042" s="8"/>
      <c r="B1042" s="8"/>
    </row>
    <row r="1043">
      <c r="A1043" s="8"/>
      <c r="B1043" s="8"/>
    </row>
  </sheetData>
  <dataValidations>
    <dataValidation type="list" allowBlank="1" showErrorMessage="1" sqref="B1039:B1043">
      <formula1>"PLA,INT"</formula1>
    </dataValidation>
    <dataValidation type="custom" allowBlank="1" showDropDown="1" showInputMessage="1" showErrorMessage="1" prompt="Enter a value that satisfies the formula: =REGEXMATCH( TO_TEXT(A2), &quot;^[0-9]{4}_[A-Za-z]{3}_[A-Za-z]{3}_[0-9]{2}$&quot; )  " sqref="A2:A1043">
      <formula1>REGEXMATCH( TO_TEXT(A2), "^[0-9]{4}_[A-Za-z]{3}_[A-Za-z]{3}_[0-9]{2}$" )  </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155</v>
      </c>
      <c r="C1" s="1" t="s">
        <v>1</v>
      </c>
      <c r="D1" s="1" t="s">
        <v>2</v>
      </c>
      <c r="E1" s="1" t="s">
        <v>156</v>
      </c>
      <c r="F1" s="1" t="s">
        <v>157</v>
      </c>
      <c r="G1" s="1" t="s">
        <v>143</v>
      </c>
      <c r="H1" s="1" t="s">
        <v>158</v>
      </c>
      <c r="I1" s="1" t="s">
        <v>159</v>
      </c>
      <c r="J1" s="1"/>
      <c r="K1" s="1"/>
      <c r="M1" s="1"/>
      <c r="N1" s="10"/>
      <c r="O1" s="10"/>
      <c r="P1" s="10"/>
      <c r="Q1" s="10"/>
    </row>
    <row r="2">
      <c r="A2" s="2" t="s">
        <v>10</v>
      </c>
      <c r="B2" s="2"/>
      <c r="C2" s="2" t="s">
        <v>11</v>
      </c>
      <c r="D2" s="2" t="s">
        <v>12</v>
      </c>
      <c r="E2" s="2">
        <v>13.0</v>
      </c>
      <c r="F2" s="2">
        <v>28.1</v>
      </c>
      <c r="G2" s="2">
        <v>7.1</v>
      </c>
      <c r="H2" s="2">
        <v>499.0</v>
      </c>
    </row>
    <row r="3">
      <c r="A3" s="2" t="s">
        <v>17</v>
      </c>
      <c r="B3" s="2"/>
      <c r="C3" s="2" t="s">
        <v>11</v>
      </c>
      <c r="D3" s="2" t="s">
        <v>18</v>
      </c>
      <c r="E3" s="2">
        <v>13.0</v>
      </c>
      <c r="F3" s="2">
        <v>28.1</v>
      </c>
      <c r="G3" s="2">
        <v>6.8</v>
      </c>
      <c r="H3" s="2">
        <v>485.0</v>
      </c>
    </row>
    <row r="4">
      <c r="A4" s="2" t="s">
        <v>19</v>
      </c>
      <c r="B4" s="2"/>
      <c r="C4" s="2" t="s">
        <v>20</v>
      </c>
      <c r="D4" s="2" t="s">
        <v>12</v>
      </c>
      <c r="E4" s="2">
        <v>13.0</v>
      </c>
      <c r="F4" s="2">
        <v>28.1</v>
      </c>
      <c r="G4" s="2">
        <v>6.9</v>
      </c>
      <c r="H4" s="2">
        <v>498.0</v>
      </c>
    </row>
    <row r="5">
      <c r="A5" s="2" t="s">
        <v>21</v>
      </c>
      <c r="B5" s="2"/>
      <c r="C5" s="2" t="s">
        <v>20</v>
      </c>
      <c r="D5" s="2" t="s">
        <v>18</v>
      </c>
      <c r="E5" s="2">
        <v>13.0</v>
      </c>
      <c r="F5" s="2">
        <v>28.2</v>
      </c>
      <c r="G5" s="2">
        <v>7.0</v>
      </c>
      <c r="H5" s="2">
        <v>477.0</v>
      </c>
    </row>
    <row r="6">
      <c r="A6" s="2" t="s">
        <v>22</v>
      </c>
      <c r="B6" s="2" t="s">
        <v>160</v>
      </c>
      <c r="C6" s="2" t="s">
        <v>23</v>
      </c>
      <c r="D6" s="2" t="s">
        <v>24</v>
      </c>
      <c r="E6" s="2">
        <v>13.0</v>
      </c>
      <c r="F6" s="2">
        <v>22.49</v>
      </c>
      <c r="G6" s="2">
        <v>6.76</v>
      </c>
      <c r="H6" s="2">
        <v>543.0</v>
      </c>
    </row>
    <row r="7">
      <c r="A7" s="2" t="s">
        <v>28</v>
      </c>
      <c r="B7" s="2" t="s">
        <v>160</v>
      </c>
      <c r="C7" s="2" t="s">
        <v>23</v>
      </c>
      <c r="D7" s="2" t="s">
        <v>29</v>
      </c>
      <c r="E7" s="2">
        <v>13.0</v>
      </c>
      <c r="F7" s="2">
        <v>22.49</v>
      </c>
      <c r="G7" s="2">
        <v>6.76</v>
      </c>
      <c r="H7" s="2">
        <v>543.0</v>
      </c>
    </row>
    <row r="8">
      <c r="A8" s="2" t="s">
        <v>30</v>
      </c>
      <c r="B8" s="2" t="s">
        <v>161</v>
      </c>
      <c r="C8" s="2" t="s">
        <v>23</v>
      </c>
      <c r="D8" s="2" t="s">
        <v>31</v>
      </c>
      <c r="E8" s="2">
        <v>13.0</v>
      </c>
      <c r="F8" s="2">
        <v>22.25</v>
      </c>
      <c r="G8" s="2">
        <v>7.07</v>
      </c>
      <c r="H8" s="2">
        <v>547.0</v>
      </c>
    </row>
    <row r="9">
      <c r="A9" s="2" t="s">
        <v>32</v>
      </c>
      <c r="B9" s="2" t="s">
        <v>161</v>
      </c>
      <c r="C9" s="2" t="s">
        <v>23</v>
      </c>
      <c r="D9" s="2" t="s">
        <v>33</v>
      </c>
      <c r="E9" s="2">
        <v>13.0</v>
      </c>
      <c r="F9" s="2">
        <v>22.25</v>
      </c>
      <c r="G9" s="2">
        <v>7.07</v>
      </c>
      <c r="H9" s="2">
        <v>547.0</v>
      </c>
    </row>
    <row r="10">
      <c r="A10" s="2" t="s">
        <v>34</v>
      </c>
      <c r="B10" s="2"/>
      <c r="C10" s="2" t="s">
        <v>23</v>
      </c>
      <c r="D10" s="2" t="s">
        <v>18</v>
      </c>
      <c r="E10" s="2">
        <v>13.0</v>
      </c>
      <c r="F10" s="2">
        <v>21.87</v>
      </c>
      <c r="G10" s="2">
        <v>6.73</v>
      </c>
      <c r="H10" s="2">
        <v>548.0</v>
      </c>
    </row>
    <row r="11">
      <c r="A11" s="2" t="s">
        <v>35</v>
      </c>
      <c r="B11" s="2" t="s">
        <v>160</v>
      </c>
      <c r="C11" s="2" t="s">
        <v>36</v>
      </c>
      <c r="D11" s="2" t="s">
        <v>24</v>
      </c>
      <c r="E11" s="2">
        <v>13.0</v>
      </c>
      <c r="F11" s="2">
        <v>22.52</v>
      </c>
      <c r="G11" s="2">
        <v>6.3</v>
      </c>
      <c r="H11" s="2">
        <v>547.0</v>
      </c>
    </row>
    <row r="12">
      <c r="A12" s="2" t="s">
        <v>37</v>
      </c>
      <c r="B12" s="2" t="s">
        <v>160</v>
      </c>
      <c r="C12" s="2" t="s">
        <v>36</v>
      </c>
      <c r="D12" s="2" t="s">
        <v>29</v>
      </c>
      <c r="E12" s="2">
        <v>13.0</v>
      </c>
      <c r="F12" s="2">
        <v>22.52</v>
      </c>
      <c r="G12" s="2">
        <v>6.3</v>
      </c>
      <c r="H12" s="2">
        <v>547.0</v>
      </c>
    </row>
    <row r="13">
      <c r="A13" s="2" t="s">
        <v>38</v>
      </c>
      <c r="B13" s="2" t="s">
        <v>161</v>
      </c>
      <c r="C13" s="2" t="s">
        <v>36</v>
      </c>
      <c r="D13" s="2" t="s">
        <v>31</v>
      </c>
      <c r="E13" s="2">
        <v>13.0</v>
      </c>
      <c r="F13" s="2">
        <v>22.4</v>
      </c>
      <c r="G13" s="2">
        <v>6.54</v>
      </c>
      <c r="H13" s="2">
        <v>555.0</v>
      </c>
    </row>
    <row r="14">
      <c r="A14" s="2" t="s">
        <v>39</v>
      </c>
      <c r="B14" s="2" t="s">
        <v>161</v>
      </c>
      <c r="C14" s="2" t="s">
        <v>36</v>
      </c>
      <c r="D14" s="2" t="s">
        <v>33</v>
      </c>
      <c r="E14" s="2">
        <v>13.0</v>
      </c>
      <c r="F14" s="2">
        <v>22.4</v>
      </c>
      <c r="G14" s="2">
        <v>6.54</v>
      </c>
      <c r="H14" s="2">
        <v>555.0</v>
      </c>
    </row>
    <row r="15">
      <c r="A15" s="2" t="s">
        <v>40</v>
      </c>
      <c r="B15" s="2"/>
      <c r="C15" s="2" t="s">
        <v>36</v>
      </c>
      <c r="D15" s="2" t="s">
        <v>18</v>
      </c>
      <c r="E15" s="2">
        <v>13.0</v>
      </c>
      <c r="F15" s="2">
        <v>22.48</v>
      </c>
      <c r="G15" s="2">
        <v>6.56</v>
      </c>
      <c r="H15" s="2">
        <v>545.0</v>
      </c>
    </row>
    <row r="16">
      <c r="A16" s="2" t="s">
        <v>41</v>
      </c>
      <c r="C16" s="2" t="s">
        <v>42</v>
      </c>
      <c r="D16" s="2" t="s">
        <v>12</v>
      </c>
      <c r="E16" s="2">
        <v>11.0</v>
      </c>
      <c r="F16" s="2">
        <v>22.0</v>
      </c>
      <c r="G16" s="2">
        <v>8.0</v>
      </c>
      <c r="H16" s="2">
        <v>506.0</v>
      </c>
    </row>
    <row r="17">
      <c r="A17" s="2" t="s">
        <v>44</v>
      </c>
      <c r="C17" s="2" t="s">
        <v>42</v>
      </c>
      <c r="D17" s="2" t="s">
        <v>18</v>
      </c>
      <c r="E17" s="2">
        <v>11.0</v>
      </c>
      <c r="F17" s="2">
        <v>22.0</v>
      </c>
      <c r="G17" s="2">
        <v>9.0</v>
      </c>
      <c r="H17" s="2">
        <v>506.0</v>
      </c>
    </row>
    <row r="18">
      <c r="A18" s="2" t="s">
        <v>45</v>
      </c>
      <c r="B18" s="2" t="s">
        <v>162</v>
      </c>
      <c r="C18" s="2" t="s">
        <v>46</v>
      </c>
      <c r="D18" s="2" t="s">
        <v>12</v>
      </c>
      <c r="E18" s="2">
        <v>11.0</v>
      </c>
      <c r="F18" s="2">
        <v>20.0</v>
      </c>
      <c r="G18" s="2">
        <v>7.0</v>
      </c>
      <c r="H18" s="2">
        <v>322.0</v>
      </c>
    </row>
    <row r="19">
      <c r="A19" s="2" t="s">
        <v>47</v>
      </c>
      <c r="B19" s="2" t="s">
        <v>162</v>
      </c>
      <c r="C19" s="2" t="s">
        <v>46</v>
      </c>
      <c r="D19" s="2" t="s">
        <v>18</v>
      </c>
      <c r="E19" s="2">
        <v>11.0</v>
      </c>
      <c r="F19" s="2">
        <v>19.0</v>
      </c>
      <c r="G19" s="2">
        <v>7.0</v>
      </c>
      <c r="H19" s="2">
        <v>325.0</v>
      </c>
    </row>
    <row r="20">
      <c r="A20" s="2" t="s">
        <v>48</v>
      </c>
      <c r="C20" s="2" t="s">
        <v>49</v>
      </c>
      <c r="D20" s="2" t="s">
        <v>12</v>
      </c>
      <c r="E20" s="2">
        <v>14.0</v>
      </c>
      <c r="F20" s="2">
        <v>24.45</v>
      </c>
      <c r="G20" s="2">
        <v>7.08</v>
      </c>
      <c r="H20" s="2">
        <v>859.0</v>
      </c>
    </row>
    <row r="21">
      <c r="A21" s="2" t="s">
        <v>51</v>
      </c>
      <c r="C21" s="2" t="s">
        <v>49</v>
      </c>
      <c r="D21" s="2" t="s">
        <v>18</v>
      </c>
      <c r="E21" s="2">
        <v>14.0</v>
      </c>
      <c r="F21" s="2">
        <v>24.37</v>
      </c>
      <c r="G21" s="2">
        <v>7.56</v>
      </c>
      <c r="H21" s="2">
        <v>875.0</v>
      </c>
    </row>
    <row r="22">
      <c r="A22" s="2" t="s">
        <v>52</v>
      </c>
      <c r="C22" s="2" t="s">
        <v>53</v>
      </c>
      <c r="D22" s="2" t="s">
        <v>12</v>
      </c>
      <c r="E22" s="2">
        <v>14.0</v>
      </c>
      <c r="F22" s="2">
        <v>28.9</v>
      </c>
      <c r="G22" s="2">
        <v>8.3</v>
      </c>
      <c r="H22" s="2">
        <v>1057.0</v>
      </c>
    </row>
    <row r="23">
      <c r="A23" s="2" t="s">
        <v>55</v>
      </c>
      <c r="C23" s="2" t="s">
        <v>53</v>
      </c>
      <c r="D23" s="2" t="s">
        <v>18</v>
      </c>
      <c r="E23" s="2">
        <v>14.0</v>
      </c>
      <c r="F23" s="2">
        <v>29.7</v>
      </c>
      <c r="G23" s="2">
        <v>8.5</v>
      </c>
      <c r="H23" s="2">
        <v>1072.0</v>
      </c>
    </row>
    <row r="24">
      <c r="A24" s="2" t="s">
        <v>56</v>
      </c>
      <c r="C24" s="2" t="s">
        <v>57</v>
      </c>
      <c r="D24" s="2" t="s">
        <v>12</v>
      </c>
      <c r="E24" s="2">
        <v>13.0</v>
      </c>
      <c r="F24" s="2">
        <v>29.4</v>
      </c>
      <c r="G24" s="2">
        <v>7.6</v>
      </c>
      <c r="H24" s="2">
        <v>404.0</v>
      </c>
    </row>
    <row r="25">
      <c r="A25" s="2" t="s">
        <v>60</v>
      </c>
      <c r="C25" s="2" t="s">
        <v>57</v>
      </c>
      <c r="D25" s="2" t="s">
        <v>18</v>
      </c>
      <c r="E25" s="2">
        <v>13.0</v>
      </c>
      <c r="F25" s="2">
        <v>28.9</v>
      </c>
      <c r="G25" s="2">
        <v>7.4</v>
      </c>
      <c r="H25" s="2">
        <v>409.0</v>
      </c>
    </row>
    <row r="26">
      <c r="A26" s="2" t="s">
        <v>61</v>
      </c>
      <c r="C26" s="2" t="s">
        <v>62</v>
      </c>
      <c r="D26" s="2" t="s">
        <v>12</v>
      </c>
      <c r="E26" s="2">
        <v>13.0</v>
      </c>
      <c r="F26" s="2">
        <v>28.8</v>
      </c>
      <c r="G26" s="2">
        <v>7.4</v>
      </c>
      <c r="H26" s="2">
        <v>407.0</v>
      </c>
    </row>
    <row r="27">
      <c r="A27" s="2" t="s">
        <v>63</v>
      </c>
      <c r="C27" s="2" t="s">
        <v>62</v>
      </c>
      <c r="D27" s="2" t="s">
        <v>18</v>
      </c>
      <c r="E27" s="2">
        <v>13.0</v>
      </c>
      <c r="F27" s="2">
        <v>28.9</v>
      </c>
      <c r="G27" s="2">
        <v>7.3</v>
      </c>
      <c r="H27" s="2">
        <v>399.0</v>
      </c>
    </row>
    <row r="28">
      <c r="A28" s="2" t="s">
        <v>64</v>
      </c>
      <c r="C28" s="2" t="s">
        <v>65</v>
      </c>
      <c r="D28" s="2" t="s">
        <v>66</v>
      </c>
      <c r="E28" s="2">
        <v>13.0</v>
      </c>
      <c r="F28" s="2">
        <v>23.1</v>
      </c>
      <c r="G28" s="2">
        <v>6.9</v>
      </c>
      <c r="H28" s="2">
        <v>271.0</v>
      </c>
    </row>
    <row r="29">
      <c r="A29" s="2" t="s">
        <v>68</v>
      </c>
      <c r="C29" s="2" t="s">
        <v>65</v>
      </c>
      <c r="D29" s="2" t="s">
        <v>69</v>
      </c>
      <c r="E29" s="2">
        <v>13.0</v>
      </c>
      <c r="F29" s="2">
        <v>23.0</v>
      </c>
      <c r="G29" s="2">
        <v>6.2</v>
      </c>
      <c r="H29" s="2">
        <v>260.0</v>
      </c>
    </row>
    <row r="30">
      <c r="A30" s="2" t="s">
        <v>70</v>
      </c>
      <c r="C30" s="2" t="s">
        <v>65</v>
      </c>
      <c r="D30" s="2" t="s">
        <v>18</v>
      </c>
      <c r="E30" s="2">
        <v>13.0</v>
      </c>
      <c r="F30" s="2">
        <v>23.5</v>
      </c>
      <c r="G30" s="2">
        <v>7.2</v>
      </c>
      <c r="H30" s="2">
        <v>266.0</v>
      </c>
    </row>
    <row r="31">
      <c r="A31" s="2" t="s">
        <v>71</v>
      </c>
      <c r="B31" s="2"/>
      <c r="C31" s="2">
        <v>302.0</v>
      </c>
      <c r="D31" s="2" t="s">
        <v>72</v>
      </c>
      <c r="E31" s="2">
        <v>11.0</v>
      </c>
      <c r="F31" s="2">
        <v>23.5</v>
      </c>
      <c r="G31" s="2">
        <v>9.4</v>
      </c>
      <c r="H31" s="2">
        <v>658.0</v>
      </c>
    </row>
    <row r="32">
      <c r="A32" s="2" t="s">
        <v>74</v>
      </c>
      <c r="B32" s="2"/>
      <c r="C32" s="2">
        <v>302.0</v>
      </c>
      <c r="D32" s="2" t="s">
        <v>75</v>
      </c>
      <c r="E32" s="2">
        <v>11.0</v>
      </c>
      <c r="F32" s="2">
        <v>23.9</v>
      </c>
      <c r="G32" s="2">
        <v>9.5</v>
      </c>
      <c r="H32" s="2">
        <v>432.0</v>
      </c>
    </row>
    <row r="33">
      <c r="A33" s="2" t="s">
        <v>76</v>
      </c>
      <c r="B33" s="2"/>
      <c r="C33" s="2">
        <v>301.0</v>
      </c>
      <c r="D33" s="2" t="s">
        <v>66</v>
      </c>
      <c r="E33" s="2">
        <v>11.0</v>
      </c>
      <c r="F33" s="2">
        <v>22.4</v>
      </c>
      <c r="G33" s="2">
        <v>9.7</v>
      </c>
      <c r="H33" s="2">
        <v>314.0</v>
      </c>
    </row>
    <row r="34">
      <c r="A34" s="2" t="s">
        <v>77</v>
      </c>
      <c r="B34" s="2"/>
      <c r="C34" s="2">
        <v>301.0</v>
      </c>
      <c r="D34" s="2" t="s">
        <v>69</v>
      </c>
      <c r="E34" s="2">
        <v>11.0</v>
      </c>
      <c r="F34" s="2">
        <v>22.2</v>
      </c>
      <c r="G34" s="2">
        <v>10.0</v>
      </c>
      <c r="H34" s="2">
        <v>307.0</v>
      </c>
    </row>
    <row r="35">
      <c r="A35" s="2" t="s">
        <v>78</v>
      </c>
      <c r="B35" s="2"/>
      <c r="C35" s="2">
        <v>301.0</v>
      </c>
      <c r="D35" s="2" t="s">
        <v>18</v>
      </c>
      <c r="E35" s="2">
        <v>11.0</v>
      </c>
      <c r="F35" s="2">
        <v>22.2</v>
      </c>
      <c r="G35" s="2">
        <v>10.1</v>
      </c>
      <c r="H35" s="2">
        <v>493.0</v>
      </c>
    </row>
    <row r="36">
      <c r="A36" s="3" t="s">
        <v>79</v>
      </c>
      <c r="C36" s="3" t="s">
        <v>80</v>
      </c>
      <c r="D36" s="3" t="s">
        <v>12</v>
      </c>
      <c r="E36" s="2">
        <v>13.0</v>
      </c>
      <c r="F36" s="2">
        <v>31.4</v>
      </c>
      <c r="G36" s="2">
        <v>9.1</v>
      </c>
      <c r="H36" s="2">
        <v>271.0</v>
      </c>
      <c r="I36" s="2" t="s">
        <v>163</v>
      </c>
    </row>
    <row r="37">
      <c r="A37" s="3" t="s">
        <v>82</v>
      </c>
      <c r="C37" s="3" t="s">
        <v>80</v>
      </c>
      <c r="D37" s="3" t="s">
        <v>18</v>
      </c>
      <c r="E37" s="2">
        <v>13.0</v>
      </c>
      <c r="F37" s="2">
        <v>32.3</v>
      </c>
      <c r="G37" s="2">
        <v>9.2</v>
      </c>
      <c r="H37" s="2">
        <v>281.0</v>
      </c>
      <c r="I37" s="2" t="s">
        <v>163</v>
      </c>
    </row>
    <row r="38">
      <c r="A38" s="2" t="s">
        <v>83</v>
      </c>
      <c r="C38" s="2">
        <v>3001.0</v>
      </c>
      <c r="D38" s="2" t="s">
        <v>72</v>
      </c>
      <c r="E38" s="2">
        <v>11.0</v>
      </c>
      <c r="F38" s="2">
        <v>23.2</v>
      </c>
      <c r="G38" s="2">
        <v>8.9</v>
      </c>
      <c r="H38" s="2">
        <v>650.0</v>
      </c>
    </row>
    <row r="39">
      <c r="A39" s="2" t="s">
        <v>85</v>
      </c>
      <c r="C39" s="2">
        <v>3001.0</v>
      </c>
      <c r="D39" s="2" t="s">
        <v>75</v>
      </c>
      <c r="E39" s="2">
        <v>11.0</v>
      </c>
      <c r="F39" s="2">
        <v>22.6</v>
      </c>
      <c r="G39" s="2">
        <v>8.9</v>
      </c>
      <c r="H39" s="2">
        <v>431.0</v>
      </c>
    </row>
    <row r="40">
      <c r="A40" s="2" t="s">
        <v>86</v>
      </c>
      <c r="C40" s="2">
        <v>3000.0</v>
      </c>
      <c r="D40" s="2" t="s">
        <v>29</v>
      </c>
      <c r="E40" s="2">
        <v>11.0</v>
      </c>
      <c r="F40" s="2">
        <v>23.2</v>
      </c>
      <c r="G40" s="2">
        <v>10.0</v>
      </c>
      <c r="H40" s="2">
        <v>255.0</v>
      </c>
    </row>
    <row r="41">
      <c r="A41" s="2" t="s">
        <v>87</v>
      </c>
      <c r="C41" s="2">
        <v>3000.0</v>
      </c>
      <c r="D41" s="2" t="s">
        <v>33</v>
      </c>
      <c r="E41" s="2">
        <v>11.0</v>
      </c>
      <c r="F41" s="2">
        <v>23.5</v>
      </c>
      <c r="G41" s="2">
        <v>9.3</v>
      </c>
      <c r="H41" s="2">
        <v>253.0</v>
      </c>
    </row>
    <row r="42">
      <c r="A42" s="2" t="s">
        <v>88</v>
      </c>
      <c r="C42" s="2">
        <v>3000.0</v>
      </c>
      <c r="D42" s="2" t="s">
        <v>89</v>
      </c>
      <c r="E42" s="2">
        <v>11.0</v>
      </c>
      <c r="F42" s="2">
        <v>22.9</v>
      </c>
      <c r="G42" s="2">
        <v>10.2</v>
      </c>
      <c r="H42" s="2">
        <v>328.0</v>
      </c>
    </row>
  </sheetData>
  <dataValidations>
    <dataValidation type="custom" allowBlank="1" showDropDown="1" showInputMessage="1" showErrorMessage="1" prompt="Enter a value that satisfies the formula: =REGEXMATCH( TO_TEXT(A2), &quot;^[0-9]{4}_[A-Za-z]{3}_[A-Za-z]{3}_[0-9]{2}$&quot; )  " sqref="A16:A42">
      <formula1>REGEXMATCH( TO_TEXT(A16), "^[0-9]{4}_[A-Za-z]{3}_[A-Za-z]{3}_[0-9]{2}$" )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164</v>
      </c>
      <c r="B1" s="1" t="s">
        <v>155</v>
      </c>
      <c r="C1" s="1" t="s">
        <v>1</v>
      </c>
      <c r="D1" s="1" t="s">
        <v>2</v>
      </c>
      <c r="E1" s="1" t="s">
        <v>165</v>
      </c>
      <c r="F1" s="1" t="s">
        <v>157</v>
      </c>
      <c r="G1" s="1" t="s">
        <v>143</v>
      </c>
      <c r="H1" s="1" t="s">
        <v>158</v>
      </c>
      <c r="I1" s="1" t="s">
        <v>159</v>
      </c>
      <c r="J1" s="1"/>
      <c r="K1" s="1"/>
      <c r="M1" s="1"/>
      <c r="N1" s="10"/>
      <c r="O1" s="10"/>
      <c r="P1" s="10"/>
      <c r="Q1" s="10"/>
    </row>
    <row r="2">
      <c r="A2" s="2" t="s">
        <v>10</v>
      </c>
      <c r="C2" s="2" t="s">
        <v>11</v>
      </c>
      <c r="D2" s="2" t="s">
        <v>12</v>
      </c>
      <c r="E2" s="2" t="s">
        <v>166</v>
      </c>
      <c r="F2" s="2">
        <v>23.5</v>
      </c>
      <c r="G2" s="2">
        <v>3.3</v>
      </c>
      <c r="H2" s="2">
        <v>499.0</v>
      </c>
    </row>
    <row r="3">
      <c r="A3" s="2" t="s">
        <v>17</v>
      </c>
      <c r="C3" s="2" t="s">
        <v>11</v>
      </c>
      <c r="D3" s="2" t="s">
        <v>18</v>
      </c>
      <c r="E3" s="2" t="s">
        <v>166</v>
      </c>
      <c r="F3" s="2">
        <v>23.6</v>
      </c>
      <c r="G3" s="2">
        <v>3.0</v>
      </c>
      <c r="H3" s="2">
        <v>485.0</v>
      </c>
    </row>
    <row r="4">
      <c r="A4" s="2" t="s">
        <v>19</v>
      </c>
      <c r="C4" s="2" t="s">
        <v>20</v>
      </c>
      <c r="D4" s="2" t="s">
        <v>12</v>
      </c>
      <c r="E4" s="2" t="s">
        <v>166</v>
      </c>
      <c r="F4" s="2">
        <v>23.6</v>
      </c>
      <c r="G4" s="2">
        <v>3.1</v>
      </c>
      <c r="H4" s="2">
        <v>498.0</v>
      </c>
    </row>
    <row r="5">
      <c r="A5" s="2" t="s">
        <v>21</v>
      </c>
      <c r="B5" s="2"/>
      <c r="C5" s="2" t="s">
        <v>20</v>
      </c>
      <c r="D5" s="2" t="s">
        <v>18</v>
      </c>
      <c r="E5" s="2" t="s">
        <v>166</v>
      </c>
      <c r="F5" s="2">
        <v>23.8</v>
      </c>
      <c r="G5" s="2">
        <v>3.2</v>
      </c>
      <c r="H5" s="2">
        <v>477.0</v>
      </c>
    </row>
    <row r="6">
      <c r="A6" s="2" t="s">
        <v>22</v>
      </c>
      <c r="B6" s="2" t="s">
        <v>160</v>
      </c>
      <c r="C6" s="2" t="s">
        <v>23</v>
      </c>
      <c r="D6" s="2" t="s">
        <v>24</v>
      </c>
      <c r="E6" s="2" t="s">
        <v>166</v>
      </c>
      <c r="F6" s="2">
        <v>26.3</v>
      </c>
      <c r="G6" s="2">
        <v>1.7</v>
      </c>
      <c r="H6" s="2">
        <v>543.0</v>
      </c>
    </row>
    <row r="7">
      <c r="A7" s="2" t="s">
        <v>28</v>
      </c>
      <c r="B7" s="2" t="s">
        <v>160</v>
      </c>
      <c r="C7" s="2" t="s">
        <v>23</v>
      </c>
      <c r="D7" s="2" t="s">
        <v>29</v>
      </c>
      <c r="E7" s="2" t="s">
        <v>166</v>
      </c>
      <c r="F7" s="2">
        <v>26.3</v>
      </c>
      <c r="G7" s="2">
        <v>1.7</v>
      </c>
      <c r="H7" s="2">
        <v>543.0</v>
      </c>
    </row>
    <row r="8">
      <c r="A8" s="2" t="s">
        <v>30</v>
      </c>
      <c r="B8" s="2" t="s">
        <v>161</v>
      </c>
      <c r="C8" s="2" t="s">
        <v>23</v>
      </c>
      <c r="D8" s="2" t="s">
        <v>31</v>
      </c>
      <c r="E8" s="2" t="s">
        <v>166</v>
      </c>
      <c r="F8" s="2">
        <v>26.3</v>
      </c>
      <c r="G8" s="2">
        <v>1.7</v>
      </c>
      <c r="H8" s="2">
        <v>547.0</v>
      </c>
    </row>
    <row r="9">
      <c r="A9" s="2" t="s">
        <v>32</v>
      </c>
      <c r="B9" s="2" t="s">
        <v>161</v>
      </c>
      <c r="C9" s="2" t="s">
        <v>23</v>
      </c>
      <c r="D9" s="2" t="s">
        <v>33</v>
      </c>
      <c r="E9" s="2" t="s">
        <v>166</v>
      </c>
      <c r="F9" s="2">
        <v>26.3</v>
      </c>
      <c r="G9" s="2">
        <v>1.7</v>
      </c>
      <c r="H9" s="2">
        <v>547.0</v>
      </c>
    </row>
    <row r="10">
      <c r="A10" s="2" t="s">
        <v>34</v>
      </c>
      <c r="C10" s="2" t="s">
        <v>23</v>
      </c>
      <c r="D10" s="2" t="s">
        <v>18</v>
      </c>
      <c r="E10" s="2" t="s">
        <v>166</v>
      </c>
      <c r="F10" s="2">
        <v>26.4</v>
      </c>
      <c r="G10" s="2">
        <v>1.8</v>
      </c>
      <c r="H10" s="2">
        <v>548.0</v>
      </c>
    </row>
    <row r="11">
      <c r="A11" s="2" t="s">
        <v>35</v>
      </c>
      <c r="B11" s="2" t="s">
        <v>160</v>
      </c>
      <c r="C11" s="2" t="s">
        <v>36</v>
      </c>
      <c r="D11" s="2" t="s">
        <v>24</v>
      </c>
      <c r="E11" s="2" t="s">
        <v>166</v>
      </c>
      <c r="F11" s="2">
        <v>26.4</v>
      </c>
      <c r="G11" s="2">
        <v>1.8</v>
      </c>
      <c r="H11" s="2">
        <v>547.0</v>
      </c>
    </row>
    <row r="12">
      <c r="A12" s="2" t="s">
        <v>37</v>
      </c>
      <c r="B12" s="2" t="s">
        <v>160</v>
      </c>
      <c r="C12" s="2" t="s">
        <v>36</v>
      </c>
      <c r="D12" s="2" t="s">
        <v>29</v>
      </c>
      <c r="E12" s="2" t="s">
        <v>166</v>
      </c>
      <c r="F12" s="2">
        <v>26.4</v>
      </c>
      <c r="G12" s="2">
        <v>1.8</v>
      </c>
      <c r="H12" s="2">
        <v>547.0</v>
      </c>
    </row>
    <row r="13">
      <c r="A13" s="2" t="s">
        <v>38</v>
      </c>
      <c r="B13" s="2" t="s">
        <v>161</v>
      </c>
      <c r="C13" s="2" t="s">
        <v>36</v>
      </c>
      <c r="D13" s="2" t="s">
        <v>31</v>
      </c>
      <c r="E13" s="2" t="s">
        <v>166</v>
      </c>
      <c r="F13" s="2">
        <v>26.4</v>
      </c>
      <c r="G13" s="2">
        <v>1.8</v>
      </c>
      <c r="H13" s="2">
        <v>555.0</v>
      </c>
    </row>
    <row r="14">
      <c r="A14" s="2" t="s">
        <v>39</v>
      </c>
      <c r="B14" s="2" t="s">
        <v>161</v>
      </c>
      <c r="C14" s="2" t="s">
        <v>36</v>
      </c>
      <c r="D14" s="2" t="s">
        <v>33</v>
      </c>
      <c r="E14" s="2" t="s">
        <v>166</v>
      </c>
      <c r="F14" s="2">
        <v>26.4</v>
      </c>
      <c r="G14" s="2">
        <v>1.8</v>
      </c>
      <c r="H14" s="2">
        <v>555.0</v>
      </c>
    </row>
    <row r="15">
      <c r="A15" s="2" t="s">
        <v>40</v>
      </c>
      <c r="C15" s="2" t="s">
        <v>36</v>
      </c>
      <c r="D15" s="2" t="s">
        <v>18</v>
      </c>
      <c r="E15" s="2" t="s">
        <v>166</v>
      </c>
      <c r="F15" s="2">
        <v>26.4</v>
      </c>
      <c r="G15" s="2">
        <v>1.7</v>
      </c>
      <c r="H15" s="2">
        <v>545.0</v>
      </c>
    </row>
    <row r="16">
      <c r="A16" s="2" t="s">
        <v>41</v>
      </c>
      <c r="C16" s="2" t="s">
        <v>42</v>
      </c>
      <c r="D16" s="2" t="s">
        <v>12</v>
      </c>
      <c r="E16" s="2" t="s">
        <v>166</v>
      </c>
      <c r="F16" s="2">
        <v>21.0</v>
      </c>
      <c r="G16" s="2">
        <v>4.0</v>
      </c>
      <c r="H16" s="2">
        <v>506.0</v>
      </c>
    </row>
    <row r="17">
      <c r="A17" s="2" t="s">
        <v>44</v>
      </c>
      <c r="C17" s="2" t="s">
        <v>42</v>
      </c>
      <c r="D17" s="2" t="s">
        <v>18</v>
      </c>
      <c r="E17" s="2" t="s">
        <v>166</v>
      </c>
      <c r="F17" s="2">
        <v>21.0</v>
      </c>
      <c r="G17" s="2">
        <v>3.0</v>
      </c>
      <c r="H17" s="2">
        <v>506.0</v>
      </c>
    </row>
    <row r="18">
      <c r="A18" s="2" t="s">
        <v>45</v>
      </c>
      <c r="B18" s="2" t="s">
        <v>162</v>
      </c>
      <c r="C18" s="2" t="s">
        <v>46</v>
      </c>
      <c r="D18" s="2" t="s">
        <v>12</v>
      </c>
      <c r="E18" s="2" t="s">
        <v>166</v>
      </c>
      <c r="F18" s="2">
        <v>22.0</v>
      </c>
      <c r="G18" s="2">
        <v>3.0</v>
      </c>
      <c r="H18" s="2">
        <v>322.0</v>
      </c>
    </row>
    <row r="19">
      <c r="A19" s="2" t="s">
        <v>47</v>
      </c>
      <c r="B19" s="2" t="s">
        <v>162</v>
      </c>
      <c r="C19" s="2" t="s">
        <v>46</v>
      </c>
      <c r="D19" s="2" t="s">
        <v>18</v>
      </c>
      <c r="E19" s="2" t="s">
        <v>166</v>
      </c>
      <c r="F19" s="2">
        <v>23.0</v>
      </c>
      <c r="G19" s="2">
        <v>3.0</v>
      </c>
      <c r="H19" s="2">
        <v>325.0</v>
      </c>
    </row>
    <row r="20">
      <c r="A20" s="2" t="s">
        <v>48</v>
      </c>
      <c r="C20" s="2" t="s">
        <v>49</v>
      </c>
      <c r="D20" s="2" t="s">
        <v>12</v>
      </c>
      <c r="E20" s="2" t="s">
        <v>166</v>
      </c>
      <c r="F20" s="2">
        <v>25.5</v>
      </c>
      <c r="G20" s="2">
        <v>2.2</v>
      </c>
      <c r="H20" s="2">
        <v>859.0</v>
      </c>
    </row>
    <row r="21">
      <c r="A21" s="2" t="s">
        <v>51</v>
      </c>
      <c r="C21" s="2" t="s">
        <v>49</v>
      </c>
      <c r="D21" s="2" t="s">
        <v>18</v>
      </c>
      <c r="E21" s="2" t="s">
        <v>166</v>
      </c>
      <c r="F21" s="2">
        <v>25.6</v>
      </c>
      <c r="G21" s="2">
        <v>2.2</v>
      </c>
      <c r="H21" s="2">
        <v>875.0</v>
      </c>
    </row>
    <row r="22">
      <c r="A22" s="2" t="s">
        <v>52</v>
      </c>
      <c r="C22" s="2" t="s">
        <v>53</v>
      </c>
      <c r="D22" s="2" t="s">
        <v>12</v>
      </c>
      <c r="E22" s="2" t="s">
        <v>166</v>
      </c>
      <c r="F22" s="2">
        <v>22.81</v>
      </c>
      <c r="G22" s="2">
        <v>2.77</v>
      </c>
      <c r="H22" s="2">
        <v>1057.0</v>
      </c>
    </row>
    <row r="23">
      <c r="A23" s="2" t="s">
        <v>55</v>
      </c>
      <c r="C23" s="2" t="s">
        <v>53</v>
      </c>
      <c r="D23" s="2" t="s">
        <v>18</v>
      </c>
      <c r="E23" s="2" t="s">
        <v>166</v>
      </c>
      <c r="F23" s="2">
        <v>22.62</v>
      </c>
      <c r="G23" s="2">
        <v>2.89</v>
      </c>
      <c r="H23" s="2">
        <v>1072.0</v>
      </c>
    </row>
    <row r="24">
      <c r="A24" s="2" t="s">
        <v>56</v>
      </c>
      <c r="C24" s="2" t="s">
        <v>57</v>
      </c>
      <c r="D24" s="2" t="s">
        <v>12</v>
      </c>
      <c r="E24" s="2" t="s">
        <v>166</v>
      </c>
      <c r="F24" s="2">
        <v>23.7</v>
      </c>
      <c r="G24" s="2">
        <v>3.0</v>
      </c>
      <c r="H24" s="2">
        <v>404.0</v>
      </c>
    </row>
    <row r="25">
      <c r="A25" s="2" t="s">
        <v>60</v>
      </c>
      <c r="C25" s="2" t="s">
        <v>57</v>
      </c>
      <c r="D25" s="2" t="s">
        <v>18</v>
      </c>
      <c r="E25" s="2" t="s">
        <v>166</v>
      </c>
      <c r="F25" s="2">
        <v>23.4</v>
      </c>
      <c r="G25" s="2">
        <v>2.9</v>
      </c>
      <c r="H25" s="2">
        <v>409.0</v>
      </c>
    </row>
    <row r="26">
      <c r="A26" s="2" t="s">
        <v>61</v>
      </c>
      <c r="C26" s="2" t="s">
        <v>62</v>
      </c>
      <c r="D26" s="2" t="s">
        <v>12</v>
      </c>
      <c r="E26" s="2" t="s">
        <v>166</v>
      </c>
      <c r="F26" s="2">
        <v>23.6</v>
      </c>
      <c r="G26" s="2">
        <v>2.8</v>
      </c>
      <c r="H26" s="2">
        <v>407.0</v>
      </c>
    </row>
    <row r="27">
      <c r="A27" s="2" t="s">
        <v>63</v>
      </c>
      <c r="C27" s="2" t="s">
        <v>62</v>
      </c>
      <c r="D27" s="2" t="s">
        <v>18</v>
      </c>
      <c r="E27" s="2" t="s">
        <v>166</v>
      </c>
      <c r="F27" s="2">
        <v>23.5</v>
      </c>
      <c r="G27" s="2">
        <v>2.9</v>
      </c>
      <c r="H27" s="2">
        <v>399.0</v>
      </c>
    </row>
    <row r="28">
      <c r="A28" s="2" t="s">
        <v>64</v>
      </c>
      <c r="C28" s="2" t="s">
        <v>65</v>
      </c>
      <c r="D28" s="2" t="s">
        <v>66</v>
      </c>
      <c r="E28" s="2" t="s">
        <v>166</v>
      </c>
      <c r="F28" s="2">
        <v>25.7</v>
      </c>
      <c r="G28" s="2">
        <v>2.3</v>
      </c>
      <c r="H28" s="2">
        <v>271.0</v>
      </c>
    </row>
    <row r="29">
      <c r="A29" s="2" t="s">
        <v>68</v>
      </c>
      <c r="C29" s="2" t="s">
        <v>65</v>
      </c>
      <c r="D29" s="2" t="s">
        <v>69</v>
      </c>
      <c r="E29" s="2" t="s">
        <v>166</v>
      </c>
      <c r="F29" s="2">
        <v>25.7</v>
      </c>
      <c r="G29" s="2">
        <v>2.2</v>
      </c>
      <c r="H29" s="2">
        <v>260.0</v>
      </c>
    </row>
    <row r="30">
      <c r="A30" s="2" t="s">
        <v>70</v>
      </c>
      <c r="C30" s="2" t="s">
        <v>65</v>
      </c>
      <c r="D30" s="2" t="s">
        <v>18</v>
      </c>
      <c r="E30" s="2" t="s">
        <v>166</v>
      </c>
      <c r="F30" s="2">
        <v>25.7</v>
      </c>
      <c r="G30" s="2">
        <v>2.1</v>
      </c>
      <c r="H30" s="2">
        <v>266.0</v>
      </c>
    </row>
    <row r="31">
      <c r="A31" s="2" t="s">
        <v>71</v>
      </c>
      <c r="B31" s="2"/>
      <c r="C31" s="2">
        <v>302.0</v>
      </c>
      <c r="D31" s="2" t="s">
        <v>72</v>
      </c>
      <c r="E31" s="2" t="s">
        <v>166</v>
      </c>
      <c r="F31" s="2">
        <v>20.8</v>
      </c>
      <c r="G31" s="2">
        <v>3.1</v>
      </c>
      <c r="H31" s="2">
        <v>658.0</v>
      </c>
    </row>
    <row r="32">
      <c r="A32" s="2" t="s">
        <v>74</v>
      </c>
      <c r="B32" s="2"/>
      <c r="C32" s="2">
        <v>302.0</v>
      </c>
      <c r="D32" s="2" t="s">
        <v>75</v>
      </c>
      <c r="E32" s="2" t="s">
        <v>166</v>
      </c>
      <c r="F32" s="2">
        <v>20.7</v>
      </c>
      <c r="G32" s="2">
        <v>3.2</v>
      </c>
      <c r="H32" s="2">
        <v>432.0</v>
      </c>
    </row>
    <row r="33">
      <c r="A33" s="2" t="s">
        <v>76</v>
      </c>
      <c r="B33" s="2"/>
      <c r="C33" s="2">
        <v>301.0</v>
      </c>
      <c r="D33" s="2" t="s">
        <v>66</v>
      </c>
      <c r="E33" s="2" t="s">
        <v>166</v>
      </c>
      <c r="F33" s="2">
        <v>21.2</v>
      </c>
      <c r="G33" s="2">
        <v>3.4</v>
      </c>
      <c r="H33" s="2">
        <v>314.0</v>
      </c>
    </row>
    <row r="34">
      <c r="A34" s="2" t="s">
        <v>77</v>
      </c>
      <c r="B34" s="2"/>
      <c r="C34" s="2">
        <v>301.0</v>
      </c>
      <c r="D34" s="2" t="s">
        <v>69</v>
      </c>
      <c r="E34" s="2" t="s">
        <v>166</v>
      </c>
      <c r="F34" s="2">
        <v>21.2</v>
      </c>
      <c r="G34" s="2">
        <v>3.3</v>
      </c>
      <c r="H34" s="2">
        <v>307.0</v>
      </c>
    </row>
    <row r="35">
      <c r="A35" s="2" t="s">
        <v>78</v>
      </c>
      <c r="B35" s="2"/>
      <c r="C35" s="2">
        <v>301.0</v>
      </c>
      <c r="D35" s="2" t="s">
        <v>18</v>
      </c>
      <c r="E35" s="2" t="s">
        <v>166</v>
      </c>
      <c r="F35" s="2">
        <v>21.2</v>
      </c>
      <c r="G35" s="2">
        <v>3.2</v>
      </c>
      <c r="H35" s="2">
        <v>493.0</v>
      </c>
    </row>
    <row r="36">
      <c r="A36" s="3" t="s">
        <v>79</v>
      </c>
      <c r="C36" s="3" t="s">
        <v>80</v>
      </c>
      <c r="D36" s="2" t="s">
        <v>12</v>
      </c>
      <c r="E36" s="2" t="s">
        <v>166</v>
      </c>
      <c r="F36" s="2">
        <v>21.7</v>
      </c>
      <c r="G36" s="2">
        <v>3.1</v>
      </c>
      <c r="H36" s="2">
        <v>588.0</v>
      </c>
      <c r="I36" s="2" t="s">
        <v>167</v>
      </c>
    </row>
    <row r="37">
      <c r="A37" s="3" t="s">
        <v>82</v>
      </c>
      <c r="C37" s="3" t="s">
        <v>80</v>
      </c>
      <c r="D37" s="2" t="s">
        <v>18</v>
      </c>
      <c r="E37" s="2" t="s">
        <v>166</v>
      </c>
      <c r="F37" s="2">
        <v>21.8</v>
      </c>
      <c r="G37" s="2">
        <v>3.0</v>
      </c>
      <c r="H37" s="2">
        <v>594.0</v>
      </c>
      <c r="I37" s="2" t="s">
        <v>167</v>
      </c>
    </row>
    <row r="38">
      <c r="A38" s="2" t="s">
        <v>83</v>
      </c>
      <c r="C38" s="2">
        <v>3001.0</v>
      </c>
      <c r="D38" s="2" t="s">
        <v>72</v>
      </c>
      <c r="E38" s="2" t="s">
        <v>166</v>
      </c>
      <c r="F38" s="2">
        <v>20.9</v>
      </c>
      <c r="G38" s="2">
        <v>3.1</v>
      </c>
      <c r="H38" s="2">
        <v>650.0</v>
      </c>
    </row>
    <row r="39">
      <c r="A39" s="2" t="s">
        <v>85</v>
      </c>
      <c r="C39" s="2">
        <v>3001.0</v>
      </c>
      <c r="D39" s="2" t="s">
        <v>75</v>
      </c>
      <c r="E39" s="2" t="s">
        <v>166</v>
      </c>
      <c r="F39" s="2">
        <v>21.0</v>
      </c>
      <c r="G39" s="2">
        <v>3.0</v>
      </c>
      <c r="H39" s="2">
        <v>431.0</v>
      </c>
    </row>
    <row r="40">
      <c r="A40" s="2" t="s">
        <v>86</v>
      </c>
      <c r="C40" s="2">
        <v>3000.0</v>
      </c>
      <c r="D40" s="2" t="s">
        <v>29</v>
      </c>
      <c r="E40" s="2" t="s">
        <v>166</v>
      </c>
      <c r="F40" s="2">
        <v>20.8</v>
      </c>
      <c r="G40" s="2">
        <v>3.2</v>
      </c>
      <c r="H40" s="2">
        <v>255.0</v>
      </c>
    </row>
    <row r="41">
      <c r="A41" s="2" t="s">
        <v>87</v>
      </c>
      <c r="C41" s="2">
        <v>3000.0</v>
      </c>
      <c r="D41" s="2" t="s">
        <v>33</v>
      </c>
      <c r="E41" s="2" t="s">
        <v>166</v>
      </c>
      <c r="F41" s="2">
        <v>20.8</v>
      </c>
      <c r="G41" s="2">
        <v>3.1</v>
      </c>
      <c r="H41" s="2">
        <v>253.0</v>
      </c>
    </row>
    <row r="42">
      <c r="A42" s="2" t="s">
        <v>88</v>
      </c>
      <c r="C42" s="2">
        <v>3000.0</v>
      </c>
      <c r="D42" s="2" t="s">
        <v>89</v>
      </c>
      <c r="E42" s="2" t="s">
        <v>166</v>
      </c>
      <c r="F42" s="2">
        <v>20.8</v>
      </c>
      <c r="G42" s="2">
        <v>3.1</v>
      </c>
      <c r="H42" s="2">
        <v>328.0</v>
      </c>
    </row>
  </sheetData>
  <dataValidations>
    <dataValidation type="custom" allowBlank="1" showDropDown="1" showInputMessage="1" showErrorMessage="1" prompt="Enter a value that satisfies the formula: =REGEXMATCH( TO_TEXT(A2), &quot;^[0-9]{4}_[A-Za-z]{3}_[A-Za-z]{3}_[0-9]{2}$&quot; )  " sqref="A16:A42">
      <formula1>REGEXMATCH( TO_TEXT(A16), "^[0-9]{4}_[A-Za-z]{3}_[A-Za-z]{3}_[0-9]{2}$" )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168</v>
      </c>
      <c r="B1" s="1" t="s">
        <v>155</v>
      </c>
      <c r="C1" s="1" t="s">
        <v>1</v>
      </c>
      <c r="D1" s="1" t="s">
        <v>2</v>
      </c>
      <c r="E1" s="1" t="s">
        <v>156</v>
      </c>
      <c r="F1" s="1" t="s">
        <v>169</v>
      </c>
      <c r="G1" s="1" t="s">
        <v>170</v>
      </c>
      <c r="H1" s="1" t="s">
        <v>171</v>
      </c>
      <c r="I1" s="1" t="s">
        <v>172</v>
      </c>
      <c r="J1" s="1" t="s">
        <v>151</v>
      </c>
      <c r="K1" s="1" t="s">
        <v>159</v>
      </c>
    </row>
    <row r="2">
      <c r="A2" s="2" t="s">
        <v>10</v>
      </c>
      <c r="C2" s="2" t="s">
        <v>11</v>
      </c>
      <c r="D2" s="2" t="s">
        <v>12</v>
      </c>
      <c r="E2" s="2">
        <v>13.0</v>
      </c>
      <c r="F2" s="2">
        <v>52.0</v>
      </c>
      <c r="G2" s="2">
        <v>2.55</v>
      </c>
      <c r="H2" s="2" t="s">
        <v>173</v>
      </c>
      <c r="I2" s="2">
        <v>0.28</v>
      </c>
      <c r="J2" s="2">
        <v>499.0</v>
      </c>
    </row>
    <row r="3">
      <c r="A3" s="2" t="s">
        <v>17</v>
      </c>
      <c r="C3" s="2" t="s">
        <v>11</v>
      </c>
      <c r="D3" s="2" t="s">
        <v>18</v>
      </c>
      <c r="E3" s="2">
        <v>13.0</v>
      </c>
      <c r="F3" s="2">
        <v>52.0</v>
      </c>
      <c r="G3" s="2">
        <v>3.14</v>
      </c>
      <c r="H3" s="2" t="s">
        <v>173</v>
      </c>
      <c r="I3" s="2">
        <v>0.32</v>
      </c>
      <c r="J3" s="2">
        <v>485.0</v>
      </c>
    </row>
    <row r="4">
      <c r="A4" s="2" t="s">
        <v>19</v>
      </c>
      <c r="C4" s="2" t="s">
        <v>20</v>
      </c>
      <c r="D4" s="2" t="s">
        <v>12</v>
      </c>
      <c r="E4" s="2">
        <v>13.0</v>
      </c>
      <c r="F4" s="2">
        <v>52.0</v>
      </c>
      <c r="G4" s="2">
        <v>1.54</v>
      </c>
      <c r="H4" s="2" t="s">
        <v>173</v>
      </c>
      <c r="I4" s="2">
        <v>0.26</v>
      </c>
      <c r="J4" s="2">
        <v>498.0</v>
      </c>
    </row>
    <row r="5">
      <c r="A5" s="2" t="s">
        <v>21</v>
      </c>
      <c r="B5" s="2"/>
      <c r="C5" s="2" t="s">
        <v>20</v>
      </c>
      <c r="D5" s="2" t="s">
        <v>18</v>
      </c>
      <c r="E5" s="2">
        <v>13.0</v>
      </c>
      <c r="F5" s="2">
        <v>52.0</v>
      </c>
      <c r="G5" s="2">
        <v>2.41</v>
      </c>
      <c r="H5" s="2" t="s">
        <v>173</v>
      </c>
      <c r="I5" s="2">
        <v>0.27</v>
      </c>
      <c r="J5" s="2">
        <v>477.0</v>
      </c>
    </row>
    <row r="6">
      <c r="A6" s="2" t="s">
        <v>10</v>
      </c>
      <c r="C6" s="2" t="s">
        <v>11</v>
      </c>
      <c r="D6" s="2" t="s">
        <v>12</v>
      </c>
      <c r="E6" s="2">
        <v>13.0</v>
      </c>
      <c r="F6" s="2">
        <v>76.0</v>
      </c>
      <c r="G6" s="2">
        <v>4.39</v>
      </c>
      <c r="H6" s="2" t="s">
        <v>173</v>
      </c>
      <c r="I6" s="2">
        <v>0.34</v>
      </c>
      <c r="J6" s="2">
        <v>499.0</v>
      </c>
    </row>
    <row r="7">
      <c r="A7" s="2" t="s">
        <v>17</v>
      </c>
      <c r="C7" s="2" t="s">
        <v>11</v>
      </c>
      <c r="D7" s="2" t="s">
        <v>18</v>
      </c>
      <c r="E7" s="2">
        <v>13.0</v>
      </c>
      <c r="F7" s="2">
        <v>76.0</v>
      </c>
      <c r="G7" s="2">
        <v>5.19</v>
      </c>
      <c r="H7" s="2" t="s">
        <v>173</v>
      </c>
      <c r="I7" s="2">
        <v>0.4</v>
      </c>
      <c r="J7" s="2">
        <v>485.0</v>
      </c>
    </row>
    <row r="8">
      <c r="A8" s="2" t="s">
        <v>19</v>
      </c>
      <c r="C8" s="2" t="s">
        <v>20</v>
      </c>
      <c r="D8" s="2" t="s">
        <v>12</v>
      </c>
      <c r="E8" s="2">
        <v>13.0</v>
      </c>
      <c r="F8" s="2">
        <v>76.0</v>
      </c>
      <c r="G8" s="2">
        <v>3.34</v>
      </c>
      <c r="H8" s="2" t="s">
        <v>173</v>
      </c>
      <c r="I8" s="2">
        <v>0.3</v>
      </c>
      <c r="J8" s="2">
        <v>498.0</v>
      </c>
    </row>
    <row r="9">
      <c r="A9" s="2" t="s">
        <v>21</v>
      </c>
      <c r="B9" s="2"/>
      <c r="C9" s="2" t="s">
        <v>20</v>
      </c>
      <c r="D9" s="2" t="s">
        <v>18</v>
      </c>
      <c r="E9" s="2">
        <v>13.0</v>
      </c>
      <c r="F9" s="2">
        <v>76.0</v>
      </c>
      <c r="G9" s="2">
        <v>4.04</v>
      </c>
      <c r="H9" s="2" t="s">
        <v>173</v>
      </c>
      <c r="I9" s="2">
        <v>0.33</v>
      </c>
      <c r="J9" s="2">
        <v>477.0</v>
      </c>
    </row>
    <row r="10">
      <c r="A10" s="2" t="s">
        <v>10</v>
      </c>
      <c r="C10" s="2" t="s">
        <v>11</v>
      </c>
      <c r="D10" s="2" t="s">
        <v>12</v>
      </c>
      <c r="E10" s="2">
        <v>13.0</v>
      </c>
      <c r="F10" s="2">
        <v>116.0</v>
      </c>
      <c r="G10" s="2">
        <v>8.57</v>
      </c>
      <c r="H10" s="2" t="s">
        <v>173</v>
      </c>
      <c r="I10" s="2">
        <v>0.47</v>
      </c>
      <c r="J10" s="2">
        <v>499.0</v>
      </c>
    </row>
    <row r="11">
      <c r="A11" s="2" t="s">
        <v>17</v>
      </c>
      <c r="C11" s="2" t="s">
        <v>11</v>
      </c>
      <c r="D11" s="2" t="s">
        <v>18</v>
      </c>
      <c r="E11" s="2">
        <v>13.0</v>
      </c>
      <c r="F11" s="2">
        <v>116.0</v>
      </c>
      <c r="G11" s="2">
        <v>9.82</v>
      </c>
      <c r="H11" s="2" t="s">
        <v>173</v>
      </c>
      <c r="I11" s="2">
        <v>0.57</v>
      </c>
      <c r="J11" s="2">
        <v>485.0</v>
      </c>
    </row>
    <row r="12">
      <c r="A12" s="2" t="s">
        <v>19</v>
      </c>
      <c r="C12" s="2" t="s">
        <v>20</v>
      </c>
      <c r="D12" s="2" t="s">
        <v>12</v>
      </c>
      <c r="E12" s="2">
        <v>13.0</v>
      </c>
      <c r="F12" s="2">
        <v>116.0</v>
      </c>
      <c r="G12" s="2">
        <v>6.66</v>
      </c>
      <c r="H12" s="2" t="s">
        <v>173</v>
      </c>
      <c r="I12" s="2">
        <v>0.42</v>
      </c>
      <c r="J12" s="2">
        <v>498.0</v>
      </c>
    </row>
    <row r="13">
      <c r="A13" s="2" t="s">
        <v>21</v>
      </c>
      <c r="B13" s="2"/>
      <c r="C13" s="2" t="s">
        <v>20</v>
      </c>
      <c r="D13" s="2" t="s">
        <v>18</v>
      </c>
      <c r="E13" s="2">
        <v>13.0</v>
      </c>
      <c r="F13" s="2">
        <v>116.0</v>
      </c>
      <c r="G13" s="2">
        <v>7.94</v>
      </c>
      <c r="H13" s="2" t="s">
        <v>173</v>
      </c>
      <c r="I13" s="2">
        <v>0.49</v>
      </c>
      <c r="J13" s="2">
        <v>477.0</v>
      </c>
    </row>
    <row r="14">
      <c r="A14" s="2" t="s">
        <v>22</v>
      </c>
      <c r="B14" s="2"/>
      <c r="C14" s="2" t="s">
        <v>23</v>
      </c>
      <c r="D14" s="2" t="s">
        <v>24</v>
      </c>
      <c r="E14" s="2">
        <v>13.0</v>
      </c>
      <c r="F14" s="2">
        <v>78.0</v>
      </c>
      <c r="G14" s="2">
        <v>4.461</v>
      </c>
      <c r="H14" s="2" t="s">
        <v>174</v>
      </c>
      <c r="I14" s="2">
        <v>0.4074</v>
      </c>
      <c r="J14" s="2">
        <v>289.0</v>
      </c>
    </row>
    <row r="15">
      <c r="A15" s="2" t="s">
        <v>28</v>
      </c>
      <c r="B15" s="2"/>
      <c r="C15" s="2" t="s">
        <v>23</v>
      </c>
      <c r="D15" s="2" t="s">
        <v>29</v>
      </c>
      <c r="E15" s="2">
        <v>13.0</v>
      </c>
      <c r="F15" s="2">
        <v>78.0</v>
      </c>
      <c r="G15" s="2" t="s">
        <v>175</v>
      </c>
      <c r="H15" s="2" t="s">
        <v>174</v>
      </c>
      <c r="I15" s="2" t="s">
        <v>175</v>
      </c>
      <c r="J15" s="2" t="s">
        <v>175</v>
      </c>
    </row>
    <row r="16">
      <c r="A16" s="2" t="s">
        <v>30</v>
      </c>
      <c r="C16" s="2" t="s">
        <v>23</v>
      </c>
      <c r="D16" s="2" t="s">
        <v>31</v>
      </c>
      <c r="E16" s="2">
        <v>13.0</v>
      </c>
      <c r="F16" s="2">
        <v>78.0</v>
      </c>
      <c r="G16" s="2">
        <v>3.763</v>
      </c>
      <c r="H16" s="2" t="s">
        <v>174</v>
      </c>
      <c r="I16" s="2">
        <v>0.4036</v>
      </c>
      <c r="J16" s="2">
        <v>293.0</v>
      </c>
    </row>
    <row r="17">
      <c r="A17" s="2" t="s">
        <v>32</v>
      </c>
      <c r="C17" s="2" t="s">
        <v>23</v>
      </c>
      <c r="D17" s="2" t="s">
        <v>33</v>
      </c>
      <c r="E17" s="2">
        <v>13.0</v>
      </c>
      <c r="F17" s="2">
        <v>78.0</v>
      </c>
      <c r="G17" s="2" t="s">
        <v>175</v>
      </c>
      <c r="H17" s="2" t="s">
        <v>174</v>
      </c>
      <c r="I17" s="2" t="s">
        <v>175</v>
      </c>
      <c r="J17" s="2" t="s">
        <v>175</v>
      </c>
    </row>
    <row r="18">
      <c r="A18" s="2" t="s">
        <v>34</v>
      </c>
      <c r="C18" s="2" t="s">
        <v>23</v>
      </c>
      <c r="D18" s="2" t="s">
        <v>18</v>
      </c>
      <c r="E18" s="2">
        <v>13.0</v>
      </c>
      <c r="F18" s="2">
        <v>78.0</v>
      </c>
      <c r="G18" s="2">
        <v>5.162</v>
      </c>
      <c r="H18" s="2" t="s">
        <v>174</v>
      </c>
      <c r="I18" s="2">
        <v>0.4049</v>
      </c>
      <c r="J18" s="2">
        <v>287.0</v>
      </c>
    </row>
    <row r="19">
      <c r="A19" s="2" t="s">
        <v>35</v>
      </c>
      <c r="C19" s="2" t="s">
        <v>36</v>
      </c>
      <c r="D19" s="2" t="s">
        <v>24</v>
      </c>
      <c r="E19" s="2">
        <v>13.0</v>
      </c>
      <c r="F19" s="2">
        <v>78.0</v>
      </c>
      <c r="G19" s="2">
        <v>4.558</v>
      </c>
      <c r="H19" s="2" t="s">
        <v>174</v>
      </c>
      <c r="I19" s="2">
        <v>0.378</v>
      </c>
      <c r="J19" s="2">
        <v>332.0</v>
      </c>
    </row>
    <row r="20">
      <c r="A20" s="2" t="s">
        <v>37</v>
      </c>
      <c r="C20" s="2" t="s">
        <v>36</v>
      </c>
      <c r="D20" s="2" t="s">
        <v>29</v>
      </c>
      <c r="E20" s="2">
        <v>13.0</v>
      </c>
      <c r="F20" s="2">
        <v>78.0</v>
      </c>
      <c r="G20" s="2" t="s">
        <v>175</v>
      </c>
      <c r="H20" s="2" t="s">
        <v>174</v>
      </c>
      <c r="I20" s="2" t="s">
        <v>175</v>
      </c>
      <c r="J20" s="2" t="s">
        <v>175</v>
      </c>
    </row>
    <row r="21">
      <c r="A21" s="2" t="s">
        <v>38</v>
      </c>
      <c r="C21" s="2" t="s">
        <v>36</v>
      </c>
      <c r="D21" s="2" t="s">
        <v>31</v>
      </c>
      <c r="E21" s="2">
        <v>13.0</v>
      </c>
      <c r="F21" s="2">
        <v>78.0</v>
      </c>
      <c r="G21" s="2">
        <v>4.552</v>
      </c>
      <c r="H21" s="2" t="s">
        <v>174</v>
      </c>
      <c r="I21" s="2">
        <v>0.3872</v>
      </c>
      <c r="J21" s="2">
        <v>294.0</v>
      </c>
    </row>
    <row r="22">
      <c r="A22" s="2" t="s">
        <v>39</v>
      </c>
      <c r="C22" s="2" t="s">
        <v>36</v>
      </c>
      <c r="D22" s="2" t="s">
        <v>33</v>
      </c>
      <c r="E22" s="2">
        <v>13.0</v>
      </c>
      <c r="F22" s="2">
        <v>78.0</v>
      </c>
      <c r="G22" s="2" t="s">
        <v>175</v>
      </c>
      <c r="H22" s="2" t="s">
        <v>174</v>
      </c>
      <c r="I22" s="2" t="s">
        <v>175</v>
      </c>
      <c r="J22" s="2" t="s">
        <v>175</v>
      </c>
    </row>
    <row r="23">
      <c r="A23" s="2" t="s">
        <v>40</v>
      </c>
      <c r="C23" s="2" t="s">
        <v>36</v>
      </c>
      <c r="D23" s="2" t="s">
        <v>18</v>
      </c>
      <c r="E23" s="2">
        <v>13.0</v>
      </c>
      <c r="F23" s="2">
        <v>78.0</v>
      </c>
      <c r="G23" s="2">
        <v>5.14</v>
      </c>
      <c r="H23" s="2" t="s">
        <v>174</v>
      </c>
      <c r="I23" s="2">
        <v>0.3783</v>
      </c>
      <c r="J23" s="2">
        <v>331.0</v>
      </c>
    </row>
    <row r="24">
      <c r="A24" s="2" t="s">
        <v>41</v>
      </c>
      <c r="C24" s="2" t="s">
        <v>42</v>
      </c>
      <c r="D24" s="2" t="s">
        <v>12</v>
      </c>
      <c r="E24" s="2">
        <v>11.0</v>
      </c>
      <c r="F24" s="2">
        <v>80.0</v>
      </c>
      <c r="G24" s="6">
        <v>3.8</v>
      </c>
      <c r="H24" s="2" t="s">
        <v>176</v>
      </c>
      <c r="I24" s="2" t="s">
        <v>177</v>
      </c>
      <c r="J24" s="2">
        <v>506.0</v>
      </c>
      <c r="K24" s="2" t="s">
        <v>178</v>
      </c>
    </row>
    <row r="25">
      <c r="A25" s="2" t="s">
        <v>44</v>
      </c>
      <c r="C25" s="2" t="s">
        <v>42</v>
      </c>
      <c r="D25" s="2" t="s">
        <v>18</v>
      </c>
      <c r="E25" s="2">
        <v>11.0</v>
      </c>
      <c r="F25" s="2">
        <v>80.0</v>
      </c>
      <c r="G25" s="6">
        <v>4.5</v>
      </c>
      <c r="H25" s="2" t="s">
        <v>176</v>
      </c>
      <c r="I25" s="2" t="s">
        <v>179</v>
      </c>
      <c r="J25" s="2">
        <v>506.0</v>
      </c>
      <c r="K25" s="2" t="s">
        <v>178</v>
      </c>
    </row>
    <row r="26">
      <c r="A26" s="2" t="s">
        <v>45</v>
      </c>
      <c r="B26" s="2" t="s">
        <v>162</v>
      </c>
      <c r="C26" s="2" t="s">
        <v>46</v>
      </c>
      <c r="D26" s="2" t="s">
        <v>12</v>
      </c>
      <c r="E26" s="2">
        <v>14.0</v>
      </c>
      <c r="F26" s="2">
        <v>80.0</v>
      </c>
      <c r="G26" s="2">
        <v>3.4</v>
      </c>
      <c r="H26" s="2" t="s">
        <v>176</v>
      </c>
      <c r="I26" s="2" t="s">
        <v>180</v>
      </c>
      <c r="J26" s="2">
        <v>322.0</v>
      </c>
      <c r="K26" s="2" t="s">
        <v>181</v>
      </c>
    </row>
    <row r="27">
      <c r="A27" s="2" t="s">
        <v>47</v>
      </c>
      <c r="B27" s="2" t="s">
        <v>162</v>
      </c>
      <c r="C27" s="2" t="s">
        <v>46</v>
      </c>
      <c r="D27" s="2" t="s">
        <v>18</v>
      </c>
      <c r="E27" s="2">
        <v>14.0</v>
      </c>
      <c r="F27" s="2">
        <v>80.0</v>
      </c>
      <c r="G27" s="2">
        <v>5.1</v>
      </c>
      <c r="H27" s="2" t="s">
        <v>176</v>
      </c>
      <c r="I27" s="2" t="s">
        <v>182</v>
      </c>
      <c r="J27" s="2">
        <v>325.0</v>
      </c>
      <c r="K27" s="2" t="s">
        <v>181</v>
      </c>
    </row>
    <row r="28">
      <c r="A28" s="2" t="s">
        <v>48</v>
      </c>
      <c r="C28" s="2" t="s">
        <v>49</v>
      </c>
      <c r="D28" s="2" t="s">
        <v>12</v>
      </c>
      <c r="E28" s="2">
        <v>14.0</v>
      </c>
      <c r="F28" s="2">
        <v>78.0</v>
      </c>
      <c r="G28" s="2">
        <v>4.14</v>
      </c>
      <c r="H28" s="2" t="s">
        <v>183</v>
      </c>
      <c r="I28" s="2"/>
      <c r="J28" s="2">
        <v>729.0</v>
      </c>
    </row>
    <row r="29">
      <c r="A29" s="2" t="s">
        <v>51</v>
      </c>
      <c r="C29" s="2" t="s">
        <v>49</v>
      </c>
      <c r="D29" s="2" t="s">
        <v>18</v>
      </c>
      <c r="E29" s="2">
        <v>14.0</v>
      </c>
      <c r="F29" s="2">
        <v>78.0</v>
      </c>
      <c r="G29" s="2">
        <v>5.58</v>
      </c>
      <c r="H29" s="2" t="s">
        <v>183</v>
      </c>
      <c r="I29" s="2"/>
      <c r="J29" s="2">
        <v>757.0</v>
      </c>
    </row>
    <row r="30">
      <c r="A30" s="2" t="s">
        <v>52</v>
      </c>
      <c r="C30" s="2" t="s">
        <v>53</v>
      </c>
      <c r="D30" s="2" t="s">
        <v>12</v>
      </c>
      <c r="E30" s="2">
        <v>14.0</v>
      </c>
      <c r="F30" s="2">
        <v>80.0</v>
      </c>
      <c r="G30" s="2">
        <v>6.65</v>
      </c>
      <c r="H30" s="2" t="s">
        <v>176</v>
      </c>
      <c r="I30" s="2">
        <v>0.36</v>
      </c>
      <c r="J30" s="2">
        <v>1057.0</v>
      </c>
    </row>
    <row r="31">
      <c r="A31" s="2" t="s">
        <v>55</v>
      </c>
      <c r="C31" s="2" t="s">
        <v>53</v>
      </c>
      <c r="D31" s="2" t="s">
        <v>18</v>
      </c>
      <c r="E31" s="2">
        <v>14.0</v>
      </c>
      <c r="F31" s="2">
        <v>80.0</v>
      </c>
      <c r="G31" s="2">
        <v>7.44</v>
      </c>
      <c r="H31" s="2" t="s">
        <v>176</v>
      </c>
      <c r="I31" s="2">
        <v>0.36</v>
      </c>
      <c r="J31" s="2">
        <v>1072.0</v>
      </c>
    </row>
    <row r="32">
      <c r="A32" s="2" t="s">
        <v>56</v>
      </c>
      <c r="C32" s="2" t="s">
        <v>57</v>
      </c>
      <c r="D32" s="2" t="s">
        <v>12</v>
      </c>
      <c r="E32" s="2">
        <v>14.0</v>
      </c>
      <c r="F32" s="2">
        <v>105.0</v>
      </c>
      <c r="G32" s="2">
        <v>9.82</v>
      </c>
      <c r="H32" s="2" t="s">
        <v>184</v>
      </c>
      <c r="I32" s="2" t="s">
        <v>185</v>
      </c>
      <c r="J32" s="2">
        <v>80.0</v>
      </c>
    </row>
    <row r="33">
      <c r="A33" s="2" t="s">
        <v>60</v>
      </c>
      <c r="C33" s="2" t="s">
        <v>57</v>
      </c>
      <c r="D33" s="2" t="s">
        <v>18</v>
      </c>
      <c r="E33" s="2">
        <v>14.0</v>
      </c>
      <c r="F33" s="2">
        <v>105.0</v>
      </c>
      <c r="G33" s="11">
        <v>9.55</v>
      </c>
      <c r="H33" s="2" t="s">
        <v>184</v>
      </c>
      <c r="I33" s="2" t="s">
        <v>186</v>
      </c>
      <c r="J33" s="2">
        <v>86.0</v>
      </c>
    </row>
    <row r="34">
      <c r="A34" s="2" t="s">
        <v>61</v>
      </c>
      <c r="C34" s="2" t="s">
        <v>62</v>
      </c>
      <c r="D34" s="2" t="s">
        <v>12</v>
      </c>
      <c r="E34" s="2">
        <v>13.0</v>
      </c>
      <c r="F34" s="2">
        <v>77.0</v>
      </c>
      <c r="G34" s="6">
        <v>7.16</v>
      </c>
      <c r="H34" s="2" t="s">
        <v>184</v>
      </c>
      <c r="I34" s="6">
        <v>1.526</v>
      </c>
      <c r="J34" s="6">
        <v>12.0</v>
      </c>
    </row>
    <row r="35">
      <c r="A35" s="2" t="s">
        <v>63</v>
      </c>
      <c r="C35" s="2" t="s">
        <v>62</v>
      </c>
      <c r="D35" s="2" t="s">
        <v>18</v>
      </c>
      <c r="E35" s="2">
        <v>13.0</v>
      </c>
      <c r="F35" s="2">
        <v>77.0</v>
      </c>
      <c r="G35" s="6">
        <v>8.9</v>
      </c>
      <c r="H35" s="2" t="s">
        <v>184</v>
      </c>
      <c r="I35" s="6">
        <v>1.382</v>
      </c>
      <c r="J35" s="6">
        <v>15.0</v>
      </c>
    </row>
    <row r="36">
      <c r="A36" s="2" t="s">
        <v>64</v>
      </c>
      <c r="C36" s="2" t="s">
        <v>65</v>
      </c>
      <c r="D36" s="2" t="s">
        <v>66</v>
      </c>
      <c r="E36" s="2">
        <v>13.0</v>
      </c>
      <c r="F36" s="2">
        <v>104.0</v>
      </c>
      <c r="G36" s="11">
        <v>5.14</v>
      </c>
      <c r="H36" s="2" t="s">
        <v>176</v>
      </c>
      <c r="I36" s="2" t="s">
        <v>187</v>
      </c>
      <c r="J36" s="2">
        <v>271.0</v>
      </c>
    </row>
    <row r="37">
      <c r="A37" s="2" t="s">
        <v>68</v>
      </c>
      <c r="C37" s="2" t="s">
        <v>65</v>
      </c>
      <c r="D37" s="2" t="s">
        <v>69</v>
      </c>
      <c r="E37" s="2">
        <v>13.0</v>
      </c>
      <c r="F37" s="11">
        <v>104.0</v>
      </c>
      <c r="G37" s="11">
        <v>5.54</v>
      </c>
      <c r="H37" s="2" t="s">
        <v>176</v>
      </c>
      <c r="I37" s="2" t="s">
        <v>188</v>
      </c>
      <c r="J37" s="2">
        <v>260.0</v>
      </c>
    </row>
    <row r="38">
      <c r="A38" s="2" t="s">
        <v>70</v>
      </c>
      <c r="C38" s="2" t="s">
        <v>65</v>
      </c>
      <c r="D38" s="2" t="s">
        <v>18</v>
      </c>
      <c r="E38" s="2">
        <v>13.0</v>
      </c>
      <c r="F38" s="11">
        <v>104.0</v>
      </c>
      <c r="G38" s="11">
        <v>5.77</v>
      </c>
      <c r="H38" s="2" t="s">
        <v>176</v>
      </c>
      <c r="I38" s="2" t="s">
        <v>189</v>
      </c>
      <c r="J38" s="2">
        <v>266.0</v>
      </c>
    </row>
    <row r="39">
      <c r="A39" s="2" t="s">
        <v>71</v>
      </c>
      <c r="B39" s="2"/>
      <c r="C39" s="2">
        <v>302.0</v>
      </c>
      <c r="D39" s="2" t="s">
        <v>72</v>
      </c>
      <c r="E39" s="2">
        <v>11.0</v>
      </c>
      <c r="F39" s="2">
        <v>78.0</v>
      </c>
      <c r="G39" s="2">
        <v>8.5</v>
      </c>
      <c r="H39" s="2" t="s">
        <v>176</v>
      </c>
      <c r="I39" s="2">
        <v>0.4</v>
      </c>
      <c r="J39" s="2">
        <v>658.0</v>
      </c>
    </row>
    <row r="40">
      <c r="A40" s="2" t="s">
        <v>74</v>
      </c>
      <c r="B40" s="2"/>
      <c r="C40" s="2">
        <v>302.0</v>
      </c>
      <c r="D40" s="2" t="s">
        <v>75</v>
      </c>
      <c r="E40" s="2">
        <v>11.0</v>
      </c>
      <c r="F40" s="2">
        <v>78.0</v>
      </c>
      <c r="G40" s="2">
        <v>8.7</v>
      </c>
      <c r="H40" s="2" t="s">
        <v>176</v>
      </c>
      <c r="I40" s="2">
        <v>0.5</v>
      </c>
      <c r="J40" s="2">
        <v>432.0</v>
      </c>
    </row>
    <row r="41">
      <c r="A41" s="2" t="s">
        <v>76</v>
      </c>
      <c r="C41" s="2">
        <v>301.0</v>
      </c>
      <c r="D41" s="2" t="s">
        <v>66</v>
      </c>
      <c r="E41" s="2">
        <v>11.0</v>
      </c>
      <c r="F41" s="2">
        <v>78.0</v>
      </c>
      <c r="G41" s="2">
        <v>7.1</v>
      </c>
      <c r="H41" s="2" t="s">
        <v>176</v>
      </c>
      <c r="I41" s="2">
        <v>0.6</v>
      </c>
      <c r="J41" s="2">
        <v>314.0</v>
      </c>
    </row>
    <row r="42">
      <c r="A42" s="2" t="s">
        <v>77</v>
      </c>
      <c r="C42" s="2">
        <v>301.0</v>
      </c>
      <c r="D42" s="2" t="s">
        <v>69</v>
      </c>
      <c r="E42" s="2">
        <v>11.0</v>
      </c>
      <c r="F42" s="2">
        <v>78.0</v>
      </c>
      <c r="G42" s="2">
        <v>7.8</v>
      </c>
      <c r="H42" s="2" t="s">
        <v>176</v>
      </c>
      <c r="I42" s="2">
        <v>0.6</v>
      </c>
      <c r="J42" s="2">
        <v>307.0</v>
      </c>
    </row>
    <row r="43">
      <c r="A43" s="2" t="s">
        <v>78</v>
      </c>
      <c r="C43" s="2">
        <v>301.0</v>
      </c>
      <c r="D43" s="2" t="s">
        <v>18</v>
      </c>
      <c r="E43" s="2">
        <v>11.0</v>
      </c>
      <c r="F43" s="2">
        <v>78.0</v>
      </c>
      <c r="G43" s="2">
        <v>7.4</v>
      </c>
      <c r="H43" s="2" t="s">
        <v>176</v>
      </c>
      <c r="I43" s="2">
        <v>0.5</v>
      </c>
      <c r="J43" s="2">
        <v>493.0</v>
      </c>
    </row>
    <row r="44">
      <c r="A44" s="3" t="s">
        <v>79</v>
      </c>
      <c r="C44" s="3" t="s">
        <v>80</v>
      </c>
      <c r="D44" s="2" t="s">
        <v>12</v>
      </c>
      <c r="E44" s="2">
        <v>13.0</v>
      </c>
      <c r="F44" s="2">
        <v>76.0</v>
      </c>
      <c r="G44" s="2">
        <v>34.63</v>
      </c>
      <c r="H44" s="2" t="s">
        <v>190</v>
      </c>
      <c r="I44" s="2">
        <v>10.78</v>
      </c>
      <c r="J44" s="2">
        <v>242.0</v>
      </c>
      <c r="K44" s="2" t="s">
        <v>163</v>
      </c>
    </row>
    <row r="45">
      <c r="A45" s="3" t="s">
        <v>82</v>
      </c>
      <c r="C45" s="3" t="s">
        <v>80</v>
      </c>
      <c r="D45" s="2" t="s">
        <v>18</v>
      </c>
      <c r="E45" s="2">
        <v>13.0</v>
      </c>
      <c r="F45" s="2">
        <v>76.0</v>
      </c>
      <c r="G45" s="2">
        <v>36.18</v>
      </c>
      <c r="H45" s="2" t="s">
        <v>190</v>
      </c>
      <c r="I45" s="2">
        <v>10.41</v>
      </c>
      <c r="J45" s="2">
        <v>263.0</v>
      </c>
      <c r="K45" s="2" t="s">
        <v>163</v>
      </c>
    </row>
    <row r="46">
      <c r="A46" s="2" t="s">
        <v>83</v>
      </c>
      <c r="C46" s="2">
        <v>3001.0</v>
      </c>
      <c r="D46" s="2" t="s">
        <v>72</v>
      </c>
      <c r="E46" s="2">
        <v>11.0</v>
      </c>
      <c r="F46" s="2">
        <v>78.0</v>
      </c>
      <c r="G46" s="2">
        <v>2.44</v>
      </c>
      <c r="H46" s="2" t="s">
        <v>176</v>
      </c>
      <c r="I46" s="2">
        <v>0.13</v>
      </c>
      <c r="J46" s="2">
        <v>650.0</v>
      </c>
    </row>
    <row r="47">
      <c r="A47" s="2" t="s">
        <v>85</v>
      </c>
      <c r="C47" s="2">
        <v>3001.0</v>
      </c>
      <c r="D47" s="2" t="s">
        <v>75</v>
      </c>
      <c r="E47" s="2">
        <v>11.0</v>
      </c>
      <c r="F47" s="2">
        <v>78.0</v>
      </c>
      <c r="G47" s="2">
        <v>2.59</v>
      </c>
      <c r="H47" s="2" t="s">
        <v>176</v>
      </c>
      <c r="I47" s="2">
        <v>0.16</v>
      </c>
      <c r="J47" s="2">
        <v>431.0</v>
      </c>
    </row>
    <row r="48">
      <c r="A48" s="2" t="s">
        <v>86</v>
      </c>
      <c r="C48" s="2">
        <v>3000.0</v>
      </c>
      <c r="D48" s="2" t="s">
        <v>29</v>
      </c>
      <c r="E48" s="2">
        <v>11.0</v>
      </c>
      <c r="F48" s="2">
        <v>78.0</v>
      </c>
      <c r="G48" s="2">
        <v>2.23</v>
      </c>
      <c r="H48" s="2" t="s">
        <v>176</v>
      </c>
      <c r="I48" s="2">
        <v>0.23</v>
      </c>
      <c r="J48" s="2">
        <v>255.0</v>
      </c>
    </row>
    <row r="49">
      <c r="A49" s="2" t="s">
        <v>87</v>
      </c>
      <c r="C49" s="2">
        <v>3000.0</v>
      </c>
      <c r="D49" s="2" t="s">
        <v>33</v>
      </c>
      <c r="E49" s="2">
        <v>11.0</v>
      </c>
      <c r="F49" s="2">
        <v>78.0</v>
      </c>
      <c r="G49" s="2">
        <v>2.41</v>
      </c>
      <c r="H49" s="2" t="s">
        <v>176</v>
      </c>
      <c r="I49" s="2">
        <v>0.23</v>
      </c>
      <c r="J49" s="2">
        <v>253.0</v>
      </c>
    </row>
    <row r="50">
      <c r="A50" s="2" t="s">
        <v>88</v>
      </c>
      <c r="C50" s="2">
        <v>3000.0</v>
      </c>
      <c r="D50" s="2" t="s">
        <v>89</v>
      </c>
      <c r="E50" s="2">
        <v>11.0</v>
      </c>
      <c r="F50" s="2">
        <v>78.0</v>
      </c>
      <c r="G50" s="2">
        <v>2.59</v>
      </c>
      <c r="H50" s="2" t="s">
        <v>176</v>
      </c>
      <c r="I50" s="2">
        <v>0.2</v>
      </c>
      <c r="J50" s="2">
        <v>328.0</v>
      </c>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row r="1003">
      <c r="A1003" s="8"/>
    </row>
    <row r="1004">
      <c r="A1004" s="8"/>
    </row>
    <row r="1005">
      <c r="A1005" s="8"/>
    </row>
    <row r="1006">
      <c r="A1006" s="8"/>
    </row>
    <row r="1007">
      <c r="A1007" s="8"/>
    </row>
    <row r="1008">
      <c r="A1008" s="8"/>
    </row>
    <row r="1009">
      <c r="A1009" s="8"/>
    </row>
    <row r="1010">
      <c r="A1010" s="8"/>
    </row>
  </sheetData>
  <dataValidations>
    <dataValidation type="custom" allowBlank="1" showDropDown="1" showInputMessage="1" showErrorMessage="1" prompt="Enter a value that satisfies the formula: =REGEXMATCH( TO_TEXT(A2), &quot;^[0-9]{4}_[A-Za-z]{3}_[A-Za-z]{3}_[0-9]{2}$&quot; )  " sqref="A43">
      <formula1>REGEXMATCH( TO_TEXT(#REF!), "^[0-9]{4}_[A-Za-z]{3}_[A-Za-z]{3}_[0-9]{2}$" )  </formula1>
    </dataValidation>
    <dataValidation type="custom" allowBlank="1" showDropDown="1" showInputMessage="1" showErrorMessage="1" prompt="Enter a value that satisfies the formula: =REGEXMATCH( TO_TEXT(A2), &quot;^[0-9]{4}_[A-Za-z]{3}_[A-Za-z]{3}_[0-9]{2}$&quot; )  " sqref="A24:A42 A44:A50 A945:A1010">
      <formula1>REGEXMATCH( TO_TEXT(A24), "^[0-9]{4}_[A-Za-z]{3}_[A-Za-z]{3}_[0-9]{2}$" )  </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168</v>
      </c>
      <c r="B1" s="1" t="s">
        <v>155</v>
      </c>
      <c r="C1" s="1" t="s">
        <v>1</v>
      </c>
      <c r="D1" s="1" t="s">
        <v>2</v>
      </c>
      <c r="E1" s="1" t="s">
        <v>169</v>
      </c>
      <c r="F1" s="1" t="s">
        <v>170</v>
      </c>
      <c r="G1" s="1" t="s">
        <v>171</v>
      </c>
      <c r="H1" s="1" t="s">
        <v>172</v>
      </c>
      <c r="I1" s="1" t="s">
        <v>151</v>
      </c>
      <c r="J1" s="1" t="s">
        <v>159</v>
      </c>
    </row>
    <row r="2">
      <c r="A2" s="2" t="s">
        <v>10</v>
      </c>
      <c r="C2" s="2" t="s">
        <v>11</v>
      </c>
      <c r="D2" s="2" t="s">
        <v>12</v>
      </c>
      <c r="E2" s="2">
        <v>52.0</v>
      </c>
      <c r="F2" s="2">
        <v>23.7</v>
      </c>
      <c r="G2" s="2" t="s">
        <v>173</v>
      </c>
      <c r="H2" s="2">
        <v>0.28</v>
      </c>
      <c r="I2" s="2">
        <v>499.0</v>
      </c>
    </row>
    <row r="3">
      <c r="A3" s="2" t="s">
        <v>17</v>
      </c>
      <c r="C3" s="2" t="s">
        <v>11</v>
      </c>
      <c r="D3" s="2" t="s">
        <v>18</v>
      </c>
      <c r="E3" s="2">
        <v>52.0</v>
      </c>
      <c r="F3" s="2">
        <v>23.6</v>
      </c>
      <c r="G3" s="2" t="s">
        <v>173</v>
      </c>
      <c r="H3" s="2">
        <v>0.29</v>
      </c>
      <c r="I3" s="2">
        <v>485.0</v>
      </c>
    </row>
    <row r="4">
      <c r="A4" s="2" t="s">
        <v>19</v>
      </c>
      <c r="C4" s="2" t="s">
        <v>20</v>
      </c>
      <c r="D4" s="2" t="s">
        <v>12</v>
      </c>
      <c r="E4" s="2">
        <v>52.0</v>
      </c>
      <c r="F4" s="2">
        <v>24.1</v>
      </c>
      <c r="G4" s="2" t="s">
        <v>173</v>
      </c>
      <c r="H4" s="2">
        <v>0.26</v>
      </c>
      <c r="I4" s="2">
        <v>498.0</v>
      </c>
    </row>
    <row r="5">
      <c r="A5" s="2" t="s">
        <v>21</v>
      </c>
      <c r="B5" s="2"/>
      <c r="C5" s="2" t="s">
        <v>20</v>
      </c>
      <c r="D5" s="2" t="s">
        <v>18</v>
      </c>
      <c r="E5" s="2">
        <v>52.0</v>
      </c>
      <c r="F5" s="2">
        <v>23.8</v>
      </c>
      <c r="G5" s="2" t="s">
        <v>173</v>
      </c>
      <c r="H5" s="2">
        <v>0.27</v>
      </c>
      <c r="I5" s="2">
        <v>477.0</v>
      </c>
    </row>
    <row r="6">
      <c r="A6" s="2" t="s">
        <v>10</v>
      </c>
      <c r="C6" s="2" t="s">
        <v>11</v>
      </c>
      <c r="D6" s="2" t="s">
        <v>12</v>
      </c>
      <c r="E6" s="2">
        <v>76.0</v>
      </c>
      <c r="F6" s="2">
        <v>23.2</v>
      </c>
      <c r="G6" s="2" t="s">
        <v>173</v>
      </c>
      <c r="H6" s="2">
        <v>0.31</v>
      </c>
      <c r="I6" s="2">
        <v>499.0</v>
      </c>
    </row>
    <row r="7">
      <c r="A7" s="2" t="s">
        <v>17</v>
      </c>
      <c r="C7" s="2" t="s">
        <v>11</v>
      </c>
      <c r="D7" s="2" t="s">
        <v>18</v>
      </c>
      <c r="E7" s="2">
        <v>76.0</v>
      </c>
      <c r="F7" s="2">
        <v>23.0</v>
      </c>
      <c r="G7" s="2" t="s">
        <v>173</v>
      </c>
      <c r="H7" s="2">
        <v>0.32</v>
      </c>
      <c r="I7" s="2">
        <v>485.0</v>
      </c>
    </row>
    <row r="8">
      <c r="A8" s="2" t="s">
        <v>19</v>
      </c>
      <c r="C8" s="2" t="s">
        <v>20</v>
      </c>
      <c r="D8" s="2" t="s">
        <v>12</v>
      </c>
      <c r="E8" s="2">
        <v>76.0</v>
      </c>
      <c r="F8" s="2">
        <v>23.7</v>
      </c>
      <c r="G8" s="2" t="s">
        <v>173</v>
      </c>
      <c r="H8" s="2">
        <v>0.3</v>
      </c>
      <c r="I8" s="2">
        <v>498.0</v>
      </c>
    </row>
    <row r="9">
      <c r="A9" s="2" t="s">
        <v>21</v>
      </c>
      <c r="B9" s="2"/>
      <c r="C9" s="2" t="s">
        <v>20</v>
      </c>
      <c r="D9" s="2" t="s">
        <v>18</v>
      </c>
      <c r="E9" s="2">
        <v>76.0</v>
      </c>
      <c r="F9" s="2">
        <v>23.2</v>
      </c>
      <c r="G9" s="2" t="s">
        <v>173</v>
      </c>
      <c r="H9" s="2">
        <v>0.31</v>
      </c>
      <c r="I9" s="2">
        <v>477.0</v>
      </c>
    </row>
    <row r="10">
      <c r="A10" s="2" t="s">
        <v>22</v>
      </c>
      <c r="C10" s="2" t="s">
        <v>23</v>
      </c>
      <c r="D10" s="2" t="s">
        <v>24</v>
      </c>
      <c r="E10" s="2">
        <v>78.0</v>
      </c>
      <c r="F10" s="7">
        <v>-3.3</v>
      </c>
      <c r="G10" s="2" t="s">
        <v>174</v>
      </c>
      <c r="H10" s="7">
        <v>0.22</v>
      </c>
      <c r="I10" s="6">
        <v>293.0</v>
      </c>
      <c r="J10" s="4"/>
    </row>
    <row r="11">
      <c r="A11" s="2" t="s">
        <v>28</v>
      </c>
      <c r="C11" s="2" t="s">
        <v>23</v>
      </c>
      <c r="D11" s="2" t="s">
        <v>29</v>
      </c>
      <c r="E11" s="2">
        <v>78.0</v>
      </c>
      <c r="F11" s="2" t="s">
        <v>175</v>
      </c>
      <c r="G11" s="2" t="s">
        <v>174</v>
      </c>
      <c r="H11" s="2" t="s">
        <v>175</v>
      </c>
      <c r="I11" s="2" t="s">
        <v>175</v>
      </c>
      <c r="J11" s="4"/>
    </row>
    <row r="12">
      <c r="A12" s="2" t="s">
        <v>30</v>
      </c>
      <c r="C12" s="2" t="s">
        <v>23</v>
      </c>
      <c r="D12" s="2" t="s">
        <v>31</v>
      </c>
      <c r="E12" s="2">
        <v>78.0</v>
      </c>
      <c r="F12" s="7">
        <v>-2.7</v>
      </c>
      <c r="G12" s="2" t="s">
        <v>174</v>
      </c>
      <c r="H12" s="7">
        <v>0.21</v>
      </c>
      <c r="I12" s="6">
        <v>299.0</v>
      </c>
      <c r="J12" s="3"/>
      <c r="L12" s="12"/>
      <c r="M12" s="12"/>
      <c r="N12" s="12"/>
      <c r="O12" s="12"/>
    </row>
    <row r="13">
      <c r="A13" s="2" t="s">
        <v>32</v>
      </c>
      <c r="C13" s="2" t="s">
        <v>23</v>
      </c>
      <c r="D13" s="2" t="s">
        <v>33</v>
      </c>
      <c r="E13" s="2">
        <v>78.0</v>
      </c>
      <c r="F13" s="2" t="s">
        <v>175</v>
      </c>
      <c r="G13" s="2" t="s">
        <v>174</v>
      </c>
      <c r="H13" s="2" t="s">
        <v>175</v>
      </c>
      <c r="I13" s="2" t="s">
        <v>175</v>
      </c>
      <c r="J13" s="4"/>
    </row>
    <row r="14">
      <c r="A14" s="2" t="s">
        <v>34</v>
      </c>
      <c r="C14" s="2" t="s">
        <v>23</v>
      </c>
      <c r="D14" s="2" t="s">
        <v>18</v>
      </c>
      <c r="E14" s="2">
        <v>78.0</v>
      </c>
      <c r="F14" s="11">
        <v>-3.3</v>
      </c>
      <c r="G14" s="2" t="s">
        <v>174</v>
      </c>
      <c r="H14" s="6">
        <v>0.22</v>
      </c>
      <c r="I14" s="6">
        <v>288.0</v>
      </c>
      <c r="J14" s="4"/>
    </row>
    <row r="15">
      <c r="A15" s="2" t="s">
        <v>35</v>
      </c>
      <c r="C15" s="2" t="s">
        <v>36</v>
      </c>
      <c r="D15" s="2" t="s">
        <v>24</v>
      </c>
      <c r="E15" s="2">
        <v>78.0</v>
      </c>
      <c r="F15" s="7">
        <v>-3.3</v>
      </c>
      <c r="G15" s="2" t="s">
        <v>174</v>
      </c>
      <c r="H15" s="7">
        <v>0.21</v>
      </c>
      <c r="I15" s="6">
        <v>334.0</v>
      </c>
      <c r="J15" s="4"/>
    </row>
    <row r="16">
      <c r="A16" s="2" t="s">
        <v>37</v>
      </c>
      <c r="C16" s="2" t="s">
        <v>36</v>
      </c>
      <c r="D16" s="2" t="s">
        <v>29</v>
      </c>
      <c r="E16" s="2">
        <v>78.0</v>
      </c>
      <c r="F16" s="2" t="s">
        <v>175</v>
      </c>
      <c r="G16" s="2" t="s">
        <v>174</v>
      </c>
      <c r="H16" s="2" t="s">
        <v>175</v>
      </c>
      <c r="I16" s="2" t="s">
        <v>175</v>
      </c>
      <c r="J16" s="4"/>
    </row>
    <row r="17">
      <c r="A17" s="2" t="s">
        <v>38</v>
      </c>
      <c r="C17" s="2" t="s">
        <v>36</v>
      </c>
      <c r="D17" s="2" t="s">
        <v>31</v>
      </c>
      <c r="E17" s="2">
        <v>78.0</v>
      </c>
      <c r="F17" s="7">
        <v>-3.6</v>
      </c>
      <c r="G17" s="2" t="s">
        <v>174</v>
      </c>
      <c r="H17" s="7">
        <v>0.21</v>
      </c>
      <c r="I17" s="6">
        <v>297.0</v>
      </c>
      <c r="J17" s="4"/>
    </row>
    <row r="18">
      <c r="A18" s="2" t="s">
        <v>39</v>
      </c>
      <c r="C18" s="2" t="s">
        <v>36</v>
      </c>
      <c r="D18" s="2" t="s">
        <v>33</v>
      </c>
      <c r="E18" s="2">
        <v>78.0</v>
      </c>
      <c r="F18" s="7" t="s">
        <v>175</v>
      </c>
      <c r="G18" s="2" t="s">
        <v>174</v>
      </c>
      <c r="H18" s="7" t="s">
        <v>175</v>
      </c>
      <c r="I18" s="6" t="s">
        <v>175</v>
      </c>
      <c r="J18" s="4"/>
    </row>
    <row r="19">
      <c r="A19" s="2" t="s">
        <v>40</v>
      </c>
      <c r="C19" s="2" t="s">
        <v>36</v>
      </c>
      <c r="D19" s="2" t="s">
        <v>18</v>
      </c>
      <c r="E19" s="2">
        <v>78.0</v>
      </c>
      <c r="F19" s="11">
        <v>-3.5</v>
      </c>
      <c r="G19" s="2" t="s">
        <v>174</v>
      </c>
      <c r="H19" s="6">
        <v>0.21</v>
      </c>
      <c r="I19" s="6">
        <v>332.0</v>
      </c>
      <c r="J19" s="4"/>
    </row>
    <row r="20">
      <c r="A20" s="2" t="s">
        <v>41</v>
      </c>
      <c r="C20" s="2" t="s">
        <v>42</v>
      </c>
      <c r="D20" s="2" t="s">
        <v>12</v>
      </c>
      <c r="E20" s="2">
        <v>80.0</v>
      </c>
      <c r="F20" s="11">
        <v>-1.4</v>
      </c>
      <c r="G20" s="2" t="s">
        <v>176</v>
      </c>
      <c r="H20" s="2" t="s">
        <v>191</v>
      </c>
      <c r="I20" s="2">
        <v>506.0</v>
      </c>
    </row>
    <row r="21">
      <c r="A21" s="2" t="s">
        <v>44</v>
      </c>
      <c r="C21" s="2" t="s">
        <v>42</v>
      </c>
      <c r="D21" s="2" t="s">
        <v>18</v>
      </c>
      <c r="E21" s="5">
        <v>80.0</v>
      </c>
      <c r="F21" s="11">
        <v>-2.0</v>
      </c>
      <c r="G21" s="2" t="s">
        <v>176</v>
      </c>
      <c r="H21" s="2" t="s">
        <v>192</v>
      </c>
      <c r="I21" s="2">
        <v>506.0</v>
      </c>
    </row>
    <row r="22">
      <c r="A22" s="2" t="s">
        <v>45</v>
      </c>
      <c r="B22" s="2" t="s">
        <v>162</v>
      </c>
      <c r="C22" s="2" t="s">
        <v>46</v>
      </c>
      <c r="D22" s="2" t="s">
        <v>12</v>
      </c>
      <c r="E22" s="2">
        <v>80.0</v>
      </c>
      <c r="F22" s="2">
        <v>-1.8</v>
      </c>
      <c r="G22" s="2" t="s">
        <v>176</v>
      </c>
      <c r="H22" s="2"/>
      <c r="I22" s="2">
        <v>322.0</v>
      </c>
    </row>
    <row r="23">
      <c r="A23" s="2" t="s">
        <v>47</v>
      </c>
      <c r="B23" s="2" t="s">
        <v>162</v>
      </c>
      <c r="C23" s="2" t="s">
        <v>46</v>
      </c>
      <c r="D23" s="2" t="s">
        <v>18</v>
      </c>
      <c r="E23" s="2">
        <v>80.0</v>
      </c>
      <c r="F23" s="2">
        <v>-2.4</v>
      </c>
      <c r="G23" s="2" t="s">
        <v>176</v>
      </c>
      <c r="H23" s="2"/>
      <c r="I23" s="2">
        <v>325.0</v>
      </c>
    </row>
    <row r="24">
      <c r="A24" s="2" t="s">
        <v>48</v>
      </c>
      <c r="C24" s="2" t="s">
        <v>49</v>
      </c>
      <c r="D24" s="2" t="s">
        <v>12</v>
      </c>
      <c r="E24" s="2">
        <v>78.0</v>
      </c>
      <c r="F24" s="2"/>
      <c r="G24" s="2" t="s">
        <v>183</v>
      </c>
      <c r="H24" s="2"/>
      <c r="I24" s="2">
        <v>729.0</v>
      </c>
      <c r="J24" s="2"/>
    </row>
    <row r="25">
      <c r="A25" s="2" t="s">
        <v>51</v>
      </c>
      <c r="C25" s="2" t="s">
        <v>49</v>
      </c>
      <c r="D25" s="2" t="s">
        <v>18</v>
      </c>
      <c r="E25" s="2">
        <v>78.0</v>
      </c>
      <c r="F25" s="2"/>
      <c r="G25" s="2" t="s">
        <v>183</v>
      </c>
      <c r="H25" s="2"/>
      <c r="I25" s="2">
        <v>757.0</v>
      </c>
      <c r="J25" s="2"/>
    </row>
    <row r="26">
      <c r="A26" s="2" t="s">
        <v>52</v>
      </c>
      <c r="C26" s="2" t="s">
        <v>53</v>
      </c>
      <c r="D26" s="2" t="s">
        <v>12</v>
      </c>
      <c r="E26" s="2">
        <v>80.0</v>
      </c>
      <c r="F26" s="2">
        <v>-3.17</v>
      </c>
      <c r="G26" s="2" t="s">
        <v>176</v>
      </c>
      <c r="H26" s="7">
        <v>0.11</v>
      </c>
      <c r="I26" s="2">
        <v>1057.0</v>
      </c>
    </row>
    <row r="27">
      <c r="A27" s="2" t="s">
        <v>55</v>
      </c>
      <c r="C27" s="2" t="s">
        <v>53</v>
      </c>
      <c r="D27" s="2" t="s">
        <v>18</v>
      </c>
      <c r="E27" s="2">
        <v>80.0</v>
      </c>
      <c r="F27" s="2">
        <v>-3.66</v>
      </c>
      <c r="G27" s="2" t="s">
        <v>176</v>
      </c>
      <c r="H27" s="7">
        <v>0.11</v>
      </c>
      <c r="I27" s="2">
        <v>1072.0</v>
      </c>
    </row>
    <row r="28">
      <c r="A28" s="2" t="s">
        <v>56</v>
      </c>
      <c r="C28" s="2" t="s">
        <v>57</v>
      </c>
      <c r="D28" s="2" t="s">
        <v>12</v>
      </c>
      <c r="E28" s="2">
        <v>105.0</v>
      </c>
      <c r="F28" s="2">
        <v>-4.96</v>
      </c>
      <c r="G28" s="2" t="s">
        <v>184</v>
      </c>
      <c r="H28" s="2" t="s">
        <v>193</v>
      </c>
      <c r="I28" s="2">
        <v>87.0</v>
      </c>
    </row>
    <row r="29">
      <c r="A29" s="2" t="s">
        <v>60</v>
      </c>
      <c r="C29" s="2" t="s">
        <v>57</v>
      </c>
      <c r="D29" s="2" t="s">
        <v>18</v>
      </c>
      <c r="E29" s="2">
        <v>105.0</v>
      </c>
      <c r="F29" s="11">
        <v>-4.63</v>
      </c>
      <c r="G29" s="2" t="s">
        <v>184</v>
      </c>
      <c r="H29" s="2" t="s">
        <v>194</v>
      </c>
      <c r="I29" s="2">
        <v>90.0</v>
      </c>
    </row>
    <row r="30">
      <c r="A30" s="2" t="s">
        <v>61</v>
      </c>
      <c r="C30" s="2" t="s">
        <v>62</v>
      </c>
      <c r="D30" s="2" t="s">
        <v>12</v>
      </c>
      <c r="E30" s="5">
        <v>77.0</v>
      </c>
      <c r="F30" s="6">
        <v>1.89</v>
      </c>
      <c r="G30" s="2" t="s">
        <v>184</v>
      </c>
      <c r="H30" s="2" t="s">
        <v>195</v>
      </c>
      <c r="I30" s="2">
        <v>12.0</v>
      </c>
      <c r="J30" s="2" t="s">
        <v>196</v>
      </c>
    </row>
    <row r="31">
      <c r="A31" s="2" t="s">
        <v>63</v>
      </c>
      <c r="C31" s="2" t="s">
        <v>62</v>
      </c>
      <c r="D31" s="2" t="s">
        <v>18</v>
      </c>
      <c r="E31" s="2">
        <v>77.0</v>
      </c>
      <c r="F31" s="6">
        <v>3.19</v>
      </c>
      <c r="G31" s="2" t="s">
        <v>184</v>
      </c>
      <c r="H31" s="2" t="s">
        <v>197</v>
      </c>
      <c r="I31" s="2">
        <v>15.0</v>
      </c>
      <c r="J31" s="2" t="s">
        <v>196</v>
      </c>
    </row>
    <row r="32">
      <c r="A32" s="2" t="s">
        <v>64</v>
      </c>
      <c r="C32" s="2" t="s">
        <v>65</v>
      </c>
      <c r="D32" s="2" t="s">
        <v>66</v>
      </c>
      <c r="E32" s="11">
        <v>104.0</v>
      </c>
      <c r="F32" s="11">
        <v>-3.02</v>
      </c>
      <c r="G32" s="2" t="s">
        <v>176</v>
      </c>
      <c r="H32" s="2" t="s">
        <v>198</v>
      </c>
      <c r="I32" s="2">
        <v>271.0</v>
      </c>
    </row>
    <row r="33">
      <c r="A33" s="2" t="s">
        <v>68</v>
      </c>
      <c r="C33" s="2" t="s">
        <v>65</v>
      </c>
      <c r="D33" s="2" t="s">
        <v>69</v>
      </c>
      <c r="E33" s="11">
        <v>104.0</v>
      </c>
      <c r="F33" s="11">
        <v>-2.73</v>
      </c>
      <c r="G33" s="2" t="s">
        <v>176</v>
      </c>
      <c r="H33" s="2" t="s">
        <v>199</v>
      </c>
      <c r="I33" s="2">
        <v>260.0</v>
      </c>
    </row>
    <row r="34">
      <c r="A34" s="2" t="s">
        <v>70</v>
      </c>
      <c r="C34" s="2" t="s">
        <v>65</v>
      </c>
      <c r="D34" s="2" t="s">
        <v>18</v>
      </c>
      <c r="E34" s="11">
        <v>104.0</v>
      </c>
      <c r="F34" s="11">
        <v>-2.93</v>
      </c>
      <c r="G34" s="2" t="s">
        <v>176</v>
      </c>
      <c r="H34" s="2" t="s">
        <v>200</v>
      </c>
      <c r="I34" s="2">
        <v>266.0</v>
      </c>
    </row>
    <row r="35">
      <c r="A35" s="2" t="s">
        <v>71</v>
      </c>
      <c r="B35" s="2"/>
      <c r="D35" s="2" t="s">
        <v>72</v>
      </c>
      <c r="E35" s="2">
        <v>78.0</v>
      </c>
      <c r="F35" s="6">
        <v>-4.7</v>
      </c>
      <c r="G35" s="2" t="s">
        <v>176</v>
      </c>
      <c r="H35" s="6">
        <v>0.2</v>
      </c>
      <c r="I35" s="2">
        <v>658.0</v>
      </c>
    </row>
    <row r="36">
      <c r="A36" s="2" t="s">
        <v>74</v>
      </c>
      <c r="B36" s="2"/>
      <c r="D36" s="2" t="s">
        <v>75</v>
      </c>
      <c r="E36" s="2">
        <v>78.0</v>
      </c>
      <c r="F36" s="2">
        <v>-4.5</v>
      </c>
      <c r="G36" s="2" t="s">
        <v>176</v>
      </c>
      <c r="H36" s="2">
        <v>0.2</v>
      </c>
      <c r="I36" s="2">
        <v>432.0</v>
      </c>
    </row>
    <row r="37">
      <c r="A37" s="2" t="s">
        <v>76</v>
      </c>
      <c r="D37" s="2" t="s">
        <v>66</v>
      </c>
      <c r="E37" s="2">
        <v>78.0</v>
      </c>
      <c r="F37" s="2">
        <v>-3.5</v>
      </c>
      <c r="G37" s="2" t="s">
        <v>176</v>
      </c>
      <c r="H37" s="2">
        <v>0.3</v>
      </c>
      <c r="I37" s="2">
        <v>314.0</v>
      </c>
    </row>
    <row r="38">
      <c r="A38" s="2" t="s">
        <v>77</v>
      </c>
      <c r="D38" s="2" t="s">
        <v>69</v>
      </c>
      <c r="E38" s="2">
        <v>78.0</v>
      </c>
      <c r="F38" s="2">
        <v>-3.7</v>
      </c>
      <c r="G38" s="2" t="s">
        <v>176</v>
      </c>
      <c r="H38" s="2">
        <v>0.3</v>
      </c>
      <c r="I38" s="2">
        <v>307.0</v>
      </c>
    </row>
    <row r="39">
      <c r="A39" s="2" t="s">
        <v>78</v>
      </c>
      <c r="D39" s="2" t="s">
        <v>18</v>
      </c>
      <c r="E39" s="2">
        <v>78.0</v>
      </c>
      <c r="F39" s="2">
        <v>-3.9</v>
      </c>
      <c r="G39" s="2" t="s">
        <v>176</v>
      </c>
      <c r="H39" s="2">
        <v>0.2</v>
      </c>
      <c r="I39" s="2">
        <v>493.0</v>
      </c>
    </row>
    <row r="40">
      <c r="A40" s="3" t="s">
        <v>79</v>
      </c>
      <c r="C40" s="3" t="s">
        <v>80</v>
      </c>
      <c r="D40" s="2" t="s">
        <v>12</v>
      </c>
      <c r="E40" s="2">
        <v>76.0</v>
      </c>
      <c r="F40" s="2">
        <v>-1.61</v>
      </c>
      <c r="G40" s="2" t="s">
        <v>176</v>
      </c>
      <c r="H40" s="2">
        <v>0.14</v>
      </c>
      <c r="I40" s="2">
        <v>549.0</v>
      </c>
    </row>
    <row r="41">
      <c r="A41" s="3" t="s">
        <v>82</v>
      </c>
      <c r="C41" s="3" t="s">
        <v>80</v>
      </c>
      <c r="D41" s="2" t="s">
        <v>18</v>
      </c>
      <c r="E41" s="2">
        <v>76.0</v>
      </c>
      <c r="F41" s="2">
        <v>-2.09</v>
      </c>
      <c r="G41" s="2" t="s">
        <v>176</v>
      </c>
      <c r="H41" s="2">
        <v>0.14</v>
      </c>
      <c r="I41" s="6">
        <v>573.0</v>
      </c>
    </row>
    <row r="42">
      <c r="A42" s="2" t="s">
        <v>83</v>
      </c>
      <c r="C42" s="2">
        <v>3001.0</v>
      </c>
      <c r="D42" s="2" t="s">
        <v>72</v>
      </c>
      <c r="E42" s="2">
        <v>78.0</v>
      </c>
      <c r="F42" s="2">
        <v>-4.7</v>
      </c>
      <c r="G42" s="2" t="s">
        <v>176</v>
      </c>
      <c r="H42" s="2">
        <v>0.2</v>
      </c>
      <c r="I42" s="2">
        <v>398.0</v>
      </c>
    </row>
    <row r="43">
      <c r="A43" s="2" t="s">
        <v>85</v>
      </c>
      <c r="C43" s="2">
        <v>3001.0</v>
      </c>
      <c r="D43" s="2" t="s">
        <v>75</v>
      </c>
      <c r="E43" s="2">
        <v>78.0</v>
      </c>
      <c r="F43" s="2">
        <v>-4.5</v>
      </c>
      <c r="G43" s="2" t="s">
        <v>176</v>
      </c>
      <c r="H43" s="2">
        <v>0.2</v>
      </c>
      <c r="I43" s="2">
        <v>285.0</v>
      </c>
    </row>
    <row r="44">
      <c r="A44" s="2" t="s">
        <v>86</v>
      </c>
      <c r="C44" s="2">
        <v>3000.0</v>
      </c>
      <c r="D44" s="2" t="s">
        <v>29</v>
      </c>
      <c r="E44" s="2">
        <v>78.0</v>
      </c>
      <c r="F44" s="2">
        <v>-3.5</v>
      </c>
      <c r="G44" s="2" t="s">
        <v>176</v>
      </c>
      <c r="H44" s="2">
        <v>0.3</v>
      </c>
      <c r="I44" s="2">
        <v>102.0</v>
      </c>
    </row>
    <row r="45">
      <c r="A45" s="2" t="s">
        <v>87</v>
      </c>
      <c r="C45" s="2">
        <v>3000.0</v>
      </c>
      <c r="D45" s="2" t="s">
        <v>33</v>
      </c>
      <c r="E45" s="2">
        <v>78.0</v>
      </c>
      <c r="F45" s="2">
        <v>-3.7</v>
      </c>
      <c r="G45" s="2" t="s">
        <v>176</v>
      </c>
      <c r="H45" s="2">
        <v>0.3</v>
      </c>
      <c r="I45" s="2">
        <v>94.0</v>
      </c>
    </row>
    <row r="46">
      <c r="A46" s="2" t="s">
        <v>88</v>
      </c>
      <c r="C46" s="2">
        <v>3000.0</v>
      </c>
      <c r="D46" s="2" t="s">
        <v>89</v>
      </c>
      <c r="E46" s="2">
        <v>78.0</v>
      </c>
      <c r="F46" s="2">
        <v>-3.9</v>
      </c>
      <c r="G46" s="2" t="s">
        <v>176</v>
      </c>
      <c r="H46" s="2">
        <v>0.2</v>
      </c>
      <c r="I46" s="2">
        <v>124.0</v>
      </c>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sheetData>
  <dataValidations>
    <dataValidation type="custom" allowBlank="1" showDropDown="1" showInputMessage="1" showErrorMessage="1" prompt="Enter a value that satisfies the formula: =REGEXMATCH( TO_TEXT(A2), &quot;^[0-9]{4}_[A-Za-z]{3}_[A-Za-z]{3}_[0-9]{2}$&quot; )  " sqref="A20:A46 A941:A992">
      <formula1>REGEXMATCH( TO_TEXT(A20), "^[0-9]{4}_[A-Za-z]{3}_[A-Za-z]{3}_[0-9]{2}$" )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37.38"/>
  </cols>
  <sheetData>
    <row r="1">
      <c r="A1" s="1" t="s">
        <v>164</v>
      </c>
      <c r="B1" s="1" t="s">
        <v>201</v>
      </c>
      <c r="C1" s="1" t="s">
        <v>202</v>
      </c>
      <c r="D1" s="1" t="s">
        <v>203</v>
      </c>
      <c r="E1" s="1" t="s">
        <v>204</v>
      </c>
      <c r="F1" s="1" t="s">
        <v>143</v>
      </c>
      <c r="G1" s="1" t="s">
        <v>169</v>
      </c>
      <c r="H1" s="1" t="s">
        <v>170</v>
      </c>
      <c r="I1" s="1" t="s">
        <v>171</v>
      </c>
      <c r="J1" s="1" t="s">
        <v>172</v>
      </c>
      <c r="K1" s="1" t="s">
        <v>151</v>
      </c>
      <c r="L1" s="1" t="s">
        <v>159</v>
      </c>
      <c r="M1" s="1"/>
      <c r="N1" s="1"/>
      <c r="O1" s="1"/>
      <c r="P1" s="1"/>
      <c r="Q1" s="1"/>
      <c r="R1" s="1"/>
      <c r="S1" s="1"/>
      <c r="T1" s="1"/>
      <c r="U1" s="1"/>
      <c r="V1" s="1"/>
      <c r="W1" s="10"/>
      <c r="X1" s="10"/>
    </row>
    <row r="2">
      <c r="A2" s="2" t="s">
        <v>22</v>
      </c>
      <c r="B2" s="2"/>
      <c r="C2" s="2" t="s">
        <v>66</v>
      </c>
      <c r="D2" s="2" t="s">
        <v>205</v>
      </c>
      <c r="E2" s="2">
        <v>1.394</v>
      </c>
      <c r="F2" s="2">
        <v>0.184</v>
      </c>
      <c r="G2" s="2">
        <v>78.0</v>
      </c>
      <c r="H2" s="2"/>
      <c r="I2" s="2" t="s">
        <v>206</v>
      </c>
      <c r="J2" s="2"/>
      <c r="K2" s="2">
        <v>15.0</v>
      </c>
    </row>
    <row r="3">
      <c r="A3" s="2" t="s">
        <v>28</v>
      </c>
      <c r="B3" s="2"/>
      <c r="C3" s="2" t="s">
        <v>69</v>
      </c>
      <c r="D3" s="2" t="s">
        <v>205</v>
      </c>
      <c r="E3" s="2">
        <v>1.383</v>
      </c>
      <c r="F3" s="2">
        <v>0.183</v>
      </c>
      <c r="G3" s="2">
        <v>78.0</v>
      </c>
      <c r="H3" s="2"/>
      <c r="I3" s="2" t="s">
        <v>206</v>
      </c>
      <c r="J3" s="2"/>
      <c r="K3" s="2">
        <v>52.0</v>
      </c>
    </row>
    <row r="4">
      <c r="A4" s="2" t="s">
        <v>30</v>
      </c>
      <c r="B4" s="2"/>
      <c r="C4" s="2" t="s">
        <v>18</v>
      </c>
      <c r="D4" s="2" t="s">
        <v>205</v>
      </c>
      <c r="E4" s="2">
        <v>1.375</v>
      </c>
      <c r="F4" s="2">
        <v>0.175</v>
      </c>
      <c r="G4" s="2">
        <v>78.0</v>
      </c>
      <c r="H4" s="2"/>
      <c r="I4" s="2" t="s">
        <v>206</v>
      </c>
      <c r="J4" s="2"/>
      <c r="K4" s="2">
        <v>5.0</v>
      </c>
    </row>
    <row r="5">
      <c r="A5" s="2" t="s">
        <v>32</v>
      </c>
      <c r="B5" s="2"/>
      <c r="C5" s="2" t="s">
        <v>66</v>
      </c>
      <c r="D5" s="2" t="s">
        <v>205</v>
      </c>
      <c r="E5" s="2">
        <v>1.385</v>
      </c>
      <c r="F5" s="2">
        <v>0.186</v>
      </c>
      <c r="G5" s="2">
        <v>78.0</v>
      </c>
      <c r="H5" s="2"/>
      <c r="I5" s="2" t="s">
        <v>206</v>
      </c>
      <c r="J5" s="2"/>
      <c r="K5" s="2">
        <v>29.0</v>
      </c>
    </row>
    <row r="6">
      <c r="A6" s="2" t="s">
        <v>34</v>
      </c>
      <c r="B6" s="2"/>
      <c r="C6" s="2" t="s">
        <v>69</v>
      </c>
      <c r="D6" s="2" t="s">
        <v>205</v>
      </c>
      <c r="E6" s="2">
        <v>1.376</v>
      </c>
      <c r="F6" s="2">
        <v>0.199</v>
      </c>
      <c r="G6" s="2">
        <v>78.0</v>
      </c>
      <c r="H6" s="2"/>
      <c r="I6" s="2" t="s">
        <v>206</v>
      </c>
      <c r="J6" s="2"/>
      <c r="K6" s="2">
        <v>25.0</v>
      </c>
    </row>
    <row r="7">
      <c r="A7" s="2" t="s">
        <v>35</v>
      </c>
      <c r="B7" s="2"/>
      <c r="C7" s="2" t="s">
        <v>18</v>
      </c>
      <c r="D7" s="2" t="s">
        <v>205</v>
      </c>
      <c r="E7" s="2">
        <v>1.407</v>
      </c>
      <c r="F7" s="2">
        <v>0.179</v>
      </c>
      <c r="G7" s="2">
        <v>78.0</v>
      </c>
      <c r="H7" s="2"/>
      <c r="I7" s="2" t="s">
        <v>206</v>
      </c>
      <c r="J7" s="2"/>
      <c r="K7" s="2">
        <v>124.0</v>
      </c>
    </row>
    <row r="8">
      <c r="A8" s="2" t="s">
        <v>22</v>
      </c>
      <c r="B8" s="2" t="s">
        <v>207</v>
      </c>
      <c r="C8" s="2"/>
      <c r="D8" s="2" t="s">
        <v>208</v>
      </c>
      <c r="E8" s="2"/>
      <c r="F8" s="2"/>
      <c r="G8" s="2">
        <v>78.0</v>
      </c>
      <c r="H8" s="2"/>
      <c r="I8" s="2"/>
      <c r="J8" s="2"/>
      <c r="K8" s="2">
        <v>25.0</v>
      </c>
    </row>
    <row r="9">
      <c r="A9" s="2" t="s">
        <v>22</v>
      </c>
      <c r="B9" s="2" t="s">
        <v>207</v>
      </c>
      <c r="C9" s="2"/>
      <c r="D9" s="2" t="s">
        <v>208</v>
      </c>
      <c r="E9" s="2"/>
      <c r="F9" s="2"/>
      <c r="G9" s="2">
        <v>78.0</v>
      </c>
      <c r="H9" s="2"/>
      <c r="I9" s="2"/>
      <c r="J9" s="2"/>
      <c r="K9" s="2">
        <v>12.0</v>
      </c>
    </row>
    <row r="10">
      <c r="A10" s="2" t="s">
        <v>41</v>
      </c>
      <c r="B10" s="2"/>
      <c r="C10" s="2" t="s">
        <v>12</v>
      </c>
      <c r="D10" s="2" t="s">
        <v>205</v>
      </c>
      <c r="F10" s="2"/>
      <c r="G10" s="2">
        <v>80.0</v>
      </c>
      <c r="H10" s="2"/>
      <c r="I10" s="2" t="s">
        <v>209</v>
      </c>
      <c r="J10" s="2"/>
      <c r="K10" s="2">
        <v>169.0</v>
      </c>
    </row>
    <row r="11">
      <c r="A11" s="2" t="s">
        <v>44</v>
      </c>
      <c r="B11" s="2"/>
      <c r="C11" s="2" t="s">
        <v>18</v>
      </c>
      <c r="D11" s="2" t="s">
        <v>205</v>
      </c>
      <c r="F11" s="2"/>
      <c r="G11" s="2">
        <v>80.0</v>
      </c>
      <c r="H11" s="2"/>
      <c r="I11" s="2" t="s">
        <v>209</v>
      </c>
      <c r="J11" s="2"/>
      <c r="K11" s="2" t="s">
        <v>210</v>
      </c>
      <c r="L11" s="2"/>
    </row>
    <row r="12">
      <c r="A12" s="2" t="s">
        <v>45</v>
      </c>
      <c r="B12" s="2"/>
      <c r="C12" s="2" t="s">
        <v>12</v>
      </c>
      <c r="D12" s="2" t="s">
        <v>205</v>
      </c>
      <c r="F12" s="2"/>
      <c r="G12" s="2">
        <v>80.0</v>
      </c>
      <c r="H12" s="2"/>
      <c r="I12" s="2" t="s">
        <v>209</v>
      </c>
      <c r="J12" s="2"/>
      <c r="K12" s="2">
        <v>97.0</v>
      </c>
    </row>
    <row r="13">
      <c r="A13" s="2" t="s">
        <v>47</v>
      </c>
      <c r="B13" s="2"/>
      <c r="C13" s="2" t="s">
        <v>18</v>
      </c>
      <c r="D13" s="2" t="s">
        <v>205</v>
      </c>
      <c r="F13" s="2"/>
      <c r="G13" s="2">
        <v>80.0</v>
      </c>
      <c r="H13" s="2"/>
      <c r="I13" s="2" t="s">
        <v>209</v>
      </c>
      <c r="J13" s="2"/>
      <c r="K13" s="2" t="s">
        <v>210</v>
      </c>
      <c r="L13" s="2"/>
    </row>
    <row r="14">
      <c r="A14" s="2" t="s">
        <v>52</v>
      </c>
      <c r="B14" s="2"/>
      <c r="C14" s="2" t="s">
        <v>12</v>
      </c>
      <c r="D14" s="2" t="s">
        <v>205</v>
      </c>
      <c r="F14" s="2"/>
      <c r="G14" s="2">
        <v>80.0</v>
      </c>
      <c r="H14" s="2">
        <v>0.016</v>
      </c>
      <c r="I14" s="2" t="s">
        <v>209</v>
      </c>
      <c r="J14" s="2">
        <v>0.002</v>
      </c>
      <c r="K14" s="2" t="s">
        <v>175</v>
      </c>
      <c r="L14" s="2"/>
    </row>
    <row r="15">
      <c r="A15" s="2" t="s">
        <v>55</v>
      </c>
      <c r="B15" s="2"/>
      <c r="C15" s="2" t="s">
        <v>18</v>
      </c>
      <c r="D15" s="2" t="s">
        <v>205</v>
      </c>
      <c r="F15" s="2"/>
      <c r="G15" s="2">
        <v>80.0</v>
      </c>
      <c r="H15" s="2">
        <v>0.02</v>
      </c>
      <c r="I15" s="2" t="s">
        <v>209</v>
      </c>
      <c r="J15" s="2">
        <v>0.002</v>
      </c>
      <c r="K15" s="2" t="s">
        <v>175</v>
      </c>
      <c r="L15" s="2"/>
    </row>
    <row r="16">
      <c r="A16" s="2" t="s">
        <v>56</v>
      </c>
      <c r="B16" s="2"/>
      <c r="C16" s="2" t="s">
        <v>12</v>
      </c>
      <c r="D16" s="2" t="s">
        <v>205</v>
      </c>
      <c r="E16" s="2">
        <v>1.348</v>
      </c>
      <c r="F16" s="2">
        <v>0.16</v>
      </c>
      <c r="G16" s="2">
        <v>53.0</v>
      </c>
      <c r="H16" s="2">
        <v>-0.002</v>
      </c>
      <c r="I16" s="2" t="s">
        <v>211</v>
      </c>
      <c r="J16" s="2" t="s">
        <v>212</v>
      </c>
      <c r="K16" s="2">
        <v>120.0</v>
      </c>
      <c r="L16" s="2"/>
    </row>
    <row r="17">
      <c r="A17" s="2" t="s">
        <v>60</v>
      </c>
      <c r="B17" s="2"/>
      <c r="C17" s="2" t="s">
        <v>18</v>
      </c>
      <c r="D17" s="2" t="s">
        <v>205</v>
      </c>
      <c r="E17" s="2">
        <v>1.34</v>
      </c>
      <c r="F17" s="2">
        <v>0.17</v>
      </c>
      <c r="G17" s="2">
        <v>53.0</v>
      </c>
      <c r="H17" s="2">
        <v>0.004</v>
      </c>
      <c r="I17" s="2" t="s">
        <v>211</v>
      </c>
      <c r="J17" s="2" t="s">
        <v>213</v>
      </c>
      <c r="K17" s="2">
        <v>120.0</v>
      </c>
      <c r="L17" s="2"/>
    </row>
    <row r="18">
      <c r="A18" s="2" t="s">
        <v>61</v>
      </c>
      <c r="B18" s="2"/>
      <c r="C18" s="2" t="s">
        <v>12</v>
      </c>
      <c r="D18" s="2" t="s">
        <v>205</v>
      </c>
      <c r="E18" s="2">
        <v>1.364</v>
      </c>
      <c r="F18" s="2">
        <v>0.15</v>
      </c>
      <c r="G18" s="2">
        <v>53.0</v>
      </c>
      <c r="H18" s="2">
        <v>-0.009</v>
      </c>
      <c r="I18" s="2" t="s">
        <v>211</v>
      </c>
      <c r="J18" s="2" t="s">
        <v>214</v>
      </c>
      <c r="K18" s="2">
        <v>55.0</v>
      </c>
      <c r="L18" s="2"/>
    </row>
    <row r="19">
      <c r="A19" s="2" t="s">
        <v>63</v>
      </c>
      <c r="B19" s="2"/>
      <c r="C19" s="2" t="s">
        <v>18</v>
      </c>
      <c r="D19" s="2" t="s">
        <v>205</v>
      </c>
      <c r="E19" s="2">
        <v>1.39</v>
      </c>
      <c r="F19" s="2">
        <v>0.13</v>
      </c>
      <c r="G19" s="2">
        <v>53.0</v>
      </c>
      <c r="H19" s="2">
        <v>0.008</v>
      </c>
      <c r="I19" s="2" t="s">
        <v>211</v>
      </c>
      <c r="J19" s="2" t="s">
        <v>215</v>
      </c>
      <c r="K19" s="2">
        <v>55.0</v>
      </c>
      <c r="L19" s="2"/>
    </row>
    <row r="20">
      <c r="A20" s="2" t="s">
        <v>56</v>
      </c>
      <c r="B20" s="2"/>
      <c r="C20" s="2" t="s">
        <v>12</v>
      </c>
      <c r="D20" s="2" t="s">
        <v>205</v>
      </c>
      <c r="E20" s="2">
        <v>1.348</v>
      </c>
      <c r="F20" s="2">
        <v>0.16</v>
      </c>
      <c r="G20" s="2">
        <v>105.0</v>
      </c>
      <c r="H20" s="2">
        <v>0.01</v>
      </c>
      <c r="I20" s="2" t="s">
        <v>211</v>
      </c>
      <c r="J20" s="2" t="s">
        <v>216</v>
      </c>
      <c r="K20" s="2">
        <v>120.0</v>
      </c>
      <c r="L20" s="2" t="s">
        <v>217</v>
      </c>
    </row>
    <row r="21">
      <c r="A21" s="2" t="s">
        <v>60</v>
      </c>
      <c r="B21" s="2"/>
      <c r="C21" s="2" t="s">
        <v>18</v>
      </c>
      <c r="D21" s="2" t="s">
        <v>205</v>
      </c>
      <c r="E21" s="2">
        <v>1.34</v>
      </c>
      <c r="F21" s="2">
        <v>0.17</v>
      </c>
      <c r="G21" s="2">
        <v>105.0</v>
      </c>
      <c r="H21" s="2">
        <v>0.021</v>
      </c>
      <c r="I21" s="2" t="s">
        <v>211</v>
      </c>
      <c r="J21" s="2" t="s">
        <v>218</v>
      </c>
      <c r="K21" s="2">
        <v>121.0</v>
      </c>
      <c r="L21" s="2" t="s">
        <v>217</v>
      </c>
    </row>
    <row r="22">
      <c r="A22" s="2" t="s">
        <v>61</v>
      </c>
      <c r="B22" s="2"/>
      <c r="C22" s="2" t="s">
        <v>12</v>
      </c>
      <c r="D22" s="2" t="s">
        <v>205</v>
      </c>
      <c r="E22" s="2">
        <v>1.364</v>
      </c>
      <c r="F22" s="2">
        <v>0.15</v>
      </c>
      <c r="G22" s="2">
        <v>105.0</v>
      </c>
      <c r="H22" s="2">
        <v>0.003</v>
      </c>
      <c r="I22" s="2" t="s">
        <v>211</v>
      </c>
      <c r="J22" s="2" t="s">
        <v>219</v>
      </c>
      <c r="K22" s="2">
        <v>9.0</v>
      </c>
      <c r="L22" s="2" t="s">
        <v>217</v>
      </c>
    </row>
    <row r="23">
      <c r="A23" s="2" t="s">
        <v>63</v>
      </c>
      <c r="B23" s="2"/>
      <c r="C23" s="2" t="s">
        <v>18</v>
      </c>
      <c r="D23" s="2" t="s">
        <v>205</v>
      </c>
      <c r="E23" s="2">
        <v>1.39</v>
      </c>
      <c r="F23" s="2">
        <v>0.13</v>
      </c>
      <c r="G23" s="2">
        <v>105.0</v>
      </c>
      <c r="H23" s="2">
        <v>0.024</v>
      </c>
      <c r="I23" s="2" t="s">
        <v>211</v>
      </c>
      <c r="J23" s="2" t="s">
        <v>220</v>
      </c>
      <c r="K23" s="2">
        <v>3.0</v>
      </c>
      <c r="L23" s="2" t="s">
        <v>217</v>
      </c>
    </row>
    <row r="24">
      <c r="A24" s="2" t="s">
        <v>64</v>
      </c>
      <c r="B24" s="2"/>
      <c r="C24" s="2" t="s">
        <v>66</v>
      </c>
      <c r="D24" s="2" t="s">
        <v>205</v>
      </c>
      <c r="E24" s="2">
        <v>1.65</v>
      </c>
      <c r="G24" s="2">
        <v>100.0</v>
      </c>
      <c r="I24" s="2" t="s">
        <v>209</v>
      </c>
      <c r="J24" s="2"/>
      <c r="K24" s="2">
        <v>18.0</v>
      </c>
    </row>
    <row r="25">
      <c r="A25" s="2" t="s">
        <v>68</v>
      </c>
      <c r="B25" s="2"/>
      <c r="C25" s="2" t="s">
        <v>69</v>
      </c>
      <c r="D25" s="2" t="s">
        <v>205</v>
      </c>
      <c r="E25" s="2">
        <v>1.62</v>
      </c>
      <c r="G25" s="2">
        <v>100.0</v>
      </c>
      <c r="I25" s="2" t="s">
        <v>209</v>
      </c>
      <c r="J25" s="2"/>
      <c r="K25" s="2">
        <v>20.0</v>
      </c>
    </row>
    <row r="26">
      <c r="A26" s="2" t="s">
        <v>70</v>
      </c>
      <c r="B26" s="2"/>
      <c r="C26" s="2" t="s">
        <v>18</v>
      </c>
      <c r="D26" s="2" t="s">
        <v>205</v>
      </c>
      <c r="E26" s="2">
        <v>1.68</v>
      </c>
      <c r="G26" s="2">
        <v>100.0</v>
      </c>
      <c r="I26" s="2" t="s">
        <v>209</v>
      </c>
      <c r="J26" s="2"/>
      <c r="K26" s="2">
        <v>17.0</v>
      </c>
    </row>
    <row r="27">
      <c r="A27" s="2" t="s">
        <v>71</v>
      </c>
      <c r="B27" s="2"/>
      <c r="C27" s="2" t="s">
        <v>72</v>
      </c>
      <c r="D27" s="2" t="s">
        <v>205</v>
      </c>
      <c r="E27" s="2">
        <v>2.2</v>
      </c>
      <c r="F27" s="2">
        <v>0.31</v>
      </c>
      <c r="G27" s="2">
        <v>71.0</v>
      </c>
      <c r="H27" s="2">
        <v>0.001</v>
      </c>
      <c r="I27" s="2" t="s">
        <v>221</v>
      </c>
      <c r="J27" s="2">
        <v>0.021</v>
      </c>
      <c r="K27" s="2">
        <v>75.0</v>
      </c>
      <c r="L27" s="2" t="s">
        <v>222</v>
      </c>
    </row>
    <row r="28">
      <c r="A28" s="2" t="s">
        <v>74</v>
      </c>
      <c r="B28" s="2"/>
      <c r="C28" s="2" t="s">
        <v>75</v>
      </c>
      <c r="D28" s="2" t="s">
        <v>205</v>
      </c>
      <c r="E28" s="2">
        <v>2.2</v>
      </c>
      <c r="F28" s="2">
        <v>0.29</v>
      </c>
      <c r="G28" s="2">
        <v>71.0</v>
      </c>
      <c r="H28" s="2">
        <v>0.102</v>
      </c>
      <c r="I28" s="2" t="s">
        <v>221</v>
      </c>
      <c r="J28" s="2">
        <v>0.026</v>
      </c>
      <c r="K28" s="2">
        <v>40.0</v>
      </c>
      <c r="L28" s="2" t="s">
        <v>222</v>
      </c>
    </row>
    <row r="29">
      <c r="A29" s="2" t="s">
        <v>76</v>
      </c>
      <c r="B29" s="2" t="s">
        <v>223</v>
      </c>
      <c r="C29" s="2" t="s">
        <v>66</v>
      </c>
      <c r="D29" s="2" t="s">
        <v>205</v>
      </c>
      <c r="E29" s="2">
        <v>2.1</v>
      </c>
      <c r="F29" s="2">
        <v>0.24</v>
      </c>
      <c r="G29" s="2">
        <v>71.0</v>
      </c>
      <c r="I29" s="2" t="s">
        <v>221</v>
      </c>
      <c r="K29" s="2">
        <v>12.0</v>
      </c>
      <c r="L29" s="2" t="s">
        <v>222</v>
      </c>
    </row>
    <row r="30">
      <c r="A30" s="2" t="s">
        <v>77</v>
      </c>
      <c r="B30" s="2" t="s">
        <v>223</v>
      </c>
      <c r="C30" s="2" t="s">
        <v>69</v>
      </c>
      <c r="D30" s="2" t="s">
        <v>205</v>
      </c>
      <c r="E30" s="2" t="s">
        <v>223</v>
      </c>
      <c r="F30" s="2" t="s">
        <v>223</v>
      </c>
      <c r="G30" s="2">
        <v>71.0</v>
      </c>
      <c r="H30" s="2" t="s">
        <v>223</v>
      </c>
      <c r="I30" s="2" t="s">
        <v>221</v>
      </c>
      <c r="J30" s="2" t="s">
        <v>223</v>
      </c>
      <c r="K30" s="2" t="s">
        <v>223</v>
      </c>
      <c r="L30" s="2" t="s">
        <v>222</v>
      </c>
    </row>
    <row r="31">
      <c r="A31" s="2" t="s">
        <v>78</v>
      </c>
      <c r="B31" s="2"/>
      <c r="C31" s="2" t="s">
        <v>18</v>
      </c>
      <c r="D31" s="2" t="s">
        <v>205</v>
      </c>
      <c r="E31" s="2">
        <v>2.1</v>
      </c>
      <c r="F31" s="2">
        <v>0.21</v>
      </c>
      <c r="G31" s="2">
        <v>71.0</v>
      </c>
      <c r="H31" s="2">
        <v>0.0</v>
      </c>
      <c r="I31" s="2" t="s">
        <v>221</v>
      </c>
      <c r="K31" s="2">
        <v>15.0</v>
      </c>
      <c r="L31" s="2" t="s">
        <v>222</v>
      </c>
    </row>
    <row r="32">
      <c r="A32" s="2" t="s">
        <v>83</v>
      </c>
      <c r="B32" s="2"/>
      <c r="C32" s="2" t="s">
        <v>72</v>
      </c>
      <c r="D32" s="2" t="s">
        <v>205</v>
      </c>
      <c r="E32" s="2">
        <v>2.2</v>
      </c>
      <c r="F32" s="2">
        <v>0.31</v>
      </c>
      <c r="G32" s="2">
        <v>71.0</v>
      </c>
      <c r="I32" s="2" t="s">
        <v>221</v>
      </c>
      <c r="K32" s="2">
        <v>27.0</v>
      </c>
    </row>
    <row r="33">
      <c r="A33" s="2" t="s">
        <v>85</v>
      </c>
      <c r="B33" s="2"/>
      <c r="C33" s="2" t="s">
        <v>75</v>
      </c>
      <c r="D33" s="2" t="s">
        <v>205</v>
      </c>
      <c r="E33" s="2">
        <v>2.2</v>
      </c>
      <c r="F33" s="2">
        <v>0.29</v>
      </c>
      <c r="G33" s="2">
        <v>71.0</v>
      </c>
      <c r="I33" s="2" t="s">
        <v>221</v>
      </c>
      <c r="K33" s="2" t="s">
        <v>224</v>
      </c>
    </row>
    <row r="34">
      <c r="A34" s="2" t="s">
        <v>86</v>
      </c>
      <c r="B34" s="2" t="s">
        <v>225</v>
      </c>
      <c r="C34" s="2" t="s">
        <v>29</v>
      </c>
      <c r="D34" s="2" t="s">
        <v>205</v>
      </c>
      <c r="E34" s="2">
        <v>2.1</v>
      </c>
      <c r="F34" s="2">
        <v>0.24</v>
      </c>
      <c r="G34" s="2">
        <v>71.0</v>
      </c>
      <c r="I34" s="2" t="s">
        <v>221</v>
      </c>
      <c r="K34" s="2">
        <v>14.0</v>
      </c>
    </row>
    <row r="35">
      <c r="A35" s="2" t="s">
        <v>87</v>
      </c>
      <c r="B35" s="2" t="s">
        <v>225</v>
      </c>
      <c r="C35" s="2" t="s">
        <v>33</v>
      </c>
      <c r="D35" s="2" t="s">
        <v>205</v>
      </c>
      <c r="E35" s="2" t="s">
        <v>225</v>
      </c>
      <c r="F35" s="2" t="s">
        <v>225</v>
      </c>
      <c r="G35" s="2">
        <v>71.0</v>
      </c>
      <c r="H35" s="2" t="s">
        <v>225</v>
      </c>
      <c r="I35" s="2"/>
      <c r="J35" s="2" t="s">
        <v>225</v>
      </c>
      <c r="K35" s="2" t="s">
        <v>226</v>
      </c>
    </row>
    <row r="36">
      <c r="A36" s="2" t="s">
        <v>88</v>
      </c>
      <c r="B36" s="2"/>
      <c r="C36" s="2" t="s">
        <v>89</v>
      </c>
      <c r="D36" s="2" t="s">
        <v>205</v>
      </c>
      <c r="E36" s="2">
        <v>2.1</v>
      </c>
      <c r="F36" s="2">
        <v>0.21</v>
      </c>
      <c r="G36" s="2">
        <v>71.0</v>
      </c>
      <c r="I36" s="2" t="s">
        <v>221</v>
      </c>
      <c r="K36" s="2" t="s">
        <v>226</v>
      </c>
    </row>
    <row r="37">
      <c r="A37" s="2" t="s">
        <v>10</v>
      </c>
      <c r="B37" s="2"/>
      <c r="C37" s="2" t="s">
        <v>12</v>
      </c>
      <c r="D37" s="2" t="s">
        <v>227</v>
      </c>
      <c r="E37" s="2">
        <v>94.44</v>
      </c>
      <c r="F37" s="2">
        <v>26.48</v>
      </c>
      <c r="G37" s="2">
        <v>116.0</v>
      </c>
      <c r="H37" s="2">
        <v>40.68</v>
      </c>
      <c r="I37" s="2" t="s">
        <v>228</v>
      </c>
      <c r="J37" s="2">
        <v>27.39</v>
      </c>
      <c r="K37" s="2">
        <v>65.0</v>
      </c>
    </row>
    <row r="38">
      <c r="A38" s="2" t="s">
        <v>17</v>
      </c>
      <c r="B38" s="2"/>
      <c r="C38" s="2" t="s">
        <v>18</v>
      </c>
      <c r="D38" s="2" t="s">
        <v>227</v>
      </c>
      <c r="E38" s="2">
        <v>96.07</v>
      </c>
      <c r="F38" s="2">
        <v>31.47</v>
      </c>
      <c r="G38" s="2">
        <v>116.0</v>
      </c>
      <c r="H38" s="2">
        <v>104.44</v>
      </c>
      <c r="I38" s="2" t="s">
        <v>228</v>
      </c>
      <c r="J38" s="2">
        <v>33.15</v>
      </c>
      <c r="K38" s="2">
        <v>58.0</v>
      </c>
    </row>
    <row r="39">
      <c r="A39" s="2" t="s">
        <v>19</v>
      </c>
      <c r="B39" s="2"/>
      <c r="C39" s="2" t="s">
        <v>12</v>
      </c>
      <c r="D39" s="2" t="s">
        <v>227</v>
      </c>
      <c r="E39" s="2">
        <v>95.62</v>
      </c>
      <c r="F39" s="2">
        <v>30.76</v>
      </c>
      <c r="G39" s="2">
        <v>116.0</v>
      </c>
      <c r="H39" s="2">
        <v>44.85</v>
      </c>
      <c r="I39" s="2" t="s">
        <v>228</v>
      </c>
      <c r="J39" s="2">
        <v>26.67</v>
      </c>
      <c r="K39" s="2">
        <v>58.0</v>
      </c>
    </row>
    <row r="40">
      <c r="A40" s="2" t="s">
        <v>21</v>
      </c>
      <c r="B40" s="2"/>
      <c r="C40" s="2" t="s">
        <v>18</v>
      </c>
      <c r="D40" s="2" t="s">
        <v>227</v>
      </c>
      <c r="E40" s="2">
        <v>90.7</v>
      </c>
      <c r="F40" s="2">
        <v>30.8</v>
      </c>
      <c r="G40" s="2">
        <v>116.0</v>
      </c>
      <c r="H40" s="2">
        <v>99.52</v>
      </c>
      <c r="I40" s="2" t="s">
        <v>228</v>
      </c>
      <c r="J40" s="2">
        <v>27.72</v>
      </c>
      <c r="K40" s="2">
        <v>56.0</v>
      </c>
    </row>
    <row r="41">
      <c r="A41" s="2" t="s">
        <v>10</v>
      </c>
      <c r="B41" s="2" t="s">
        <v>229</v>
      </c>
      <c r="C41" s="2" t="s">
        <v>12</v>
      </c>
      <c r="D41" s="2" t="s">
        <v>208</v>
      </c>
      <c r="E41" s="2">
        <v>1.47</v>
      </c>
      <c r="G41" s="2">
        <v>116.0</v>
      </c>
      <c r="H41" s="2">
        <v>0.13</v>
      </c>
      <c r="I41" s="2" t="s">
        <v>221</v>
      </c>
      <c r="J41" s="2">
        <v>0.014</v>
      </c>
      <c r="K41" s="2">
        <v>48.0</v>
      </c>
      <c r="L41" s="2" t="s">
        <v>230</v>
      </c>
    </row>
    <row r="42">
      <c r="A42" s="2" t="s">
        <v>10</v>
      </c>
      <c r="B42" s="2" t="s">
        <v>229</v>
      </c>
      <c r="C42" s="2" t="s">
        <v>12</v>
      </c>
      <c r="D42" s="2" t="s">
        <v>208</v>
      </c>
      <c r="E42" s="2">
        <v>1.47</v>
      </c>
      <c r="F42" s="2"/>
      <c r="G42" s="2">
        <v>116.0</v>
      </c>
      <c r="H42" s="2">
        <v>0.09</v>
      </c>
      <c r="I42" s="2" t="s">
        <v>221</v>
      </c>
      <c r="J42" s="2">
        <v>0.011</v>
      </c>
      <c r="K42" s="2">
        <v>48.0</v>
      </c>
      <c r="L42" s="2" t="s">
        <v>231</v>
      </c>
    </row>
    <row r="43">
      <c r="A43" s="2" t="s">
        <v>10</v>
      </c>
      <c r="B43" s="2" t="s">
        <v>229</v>
      </c>
      <c r="C43" s="2" t="s">
        <v>12</v>
      </c>
      <c r="D43" s="2" t="s">
        <v>208</v>
      </c>
      <c r="E43" s="2"/>
      <c r="F43" s="2"/>
      <c r="G43" s="2">
        <v>116.0</v>
      </c>
      <c r="H43" s="2">
        <v>0.08</v>
      </c>
      <c r="I43" s="2" t="s">
        <v>221</v>
      </c>
      <c r="J43" s="2">
        <v>0.009</v>
      </c>
      <c r="K43" s="2">
        <v>48.0</v>
      </c>
      <c r="L43" s="2" t="s">
        <v>232</v>
      </c>
    </row>
    <row r="44">
      <c r="A44" s="2" t="s">
        <v>10</v>
      </c>
      <c r="B44" s="2" t="s">
        <v>229</v>
      </c>
      <c r="C44" s="2" t="s">
        <v>12</v>
      </c>
      <c r="D44" s="2" t="s">
        <v>208</v>
      </c>
      <c r="E44" s="2"/>
      <c r="F44" s="2"/>
      <c r="G44" s="2">
        <v>116.0</v>
      </c>
      <c r="H44" s="2">
        <v>0.09</v>
      </c>
      <c r="I44" s="2" t="s">
        <v>221</v>
      </c>
      <c r="J44" s="2">
        <v>0.016</v>
      </c>
      <c r="K44" s="2">
        <v>48.0</v>
      </c>
      <c r="L44" s="2" t="s">
        <v>233</v>
      </c>
    </row>
    <row r="45">
      <c r="A45" s="2" t="s">
        <v>17</v>
      </c>
      <c r="B45" s="2" t="s">
        <v>229</v>
      </c>
      <c r="C45" s="2" t="s">
        <v>18</v>
      </c>
      <c r="D45" s="2" t="s">
        <v>208</v>
      </c>
      <c r="E45" s="2">
        <v>1.46</v>
      </c>
      <c r="F45" s="2"/>
      <c r="G45" s="2">
        <v>116.0</v>
      </c>
      <c r="H45" s="2">
        <v>0.12</v>
      </c>
      <c r="I45" s="2" t="s">
        <v>221</v>
      </c>
      <c r="J45" s="2">
        <v>0.018</v>
      </c>
      <c r="K45" s="2">
        <v>29.0</v>
      </c>
      <c r="L45" s="2" t="s">
        <v>230</v>
      </c>
    </row>
    <row r="46">
      <c r="A46" s="2" t="s">
        <v>17</v>
      </c>
      <c r="B46" s="2" t="s">
        <v>229</v>
      </c>
      <c r="C46" s="2" t="s">
        <v>18</v>
      </c>
      <c r="D46" s="2" t="s">
        <v>208</v>
      </c>
      <c r="E46" s="2">
        <v>1.5</v>
      </c>
      <c r="F46" s="2"/>
      <c r="G46" s="2">
        <v>116.0</v>
      </c>
      <c r="H46" s="2">
        <v>0.08</v>
      </c>
      <c r="I46" s="2" t="s">
        <v>221</v>
      </c>
      <c r="J46" s="2">
        <v>0.014</v>
      </c>
      <c r="K46" s="2">
        <v>29.0</v>
      </c>
      <c r="L46" s="2" t="s">
        <v>234</v>
      </c>
    </row>
    <row r="47">
      <c r="A47" s="2" t="s">
        <v>17</v>
      </c>
      <c r="B47" s="2" t="s">
        <v>229</v>
      </c>
      <c r="C47" s="2" t="s">
        <v>18</v>
      </c>
      <c r="D47" s="2" t="s">
        <v>208</v>
      </c>
      <c r="E47" s="2"/>
      <c r="F47" s="2"/>
      <c r="G47" s="2">
        <v>116.0</v>
      </c>
      <c r="H47" s="2">
        <v>0.08</v>
      </c>
      <c r="I47" s="2" t="s">
        <v>221</v>
      </c>
      <c r="J47" s="2">
        <v>0.012</v>
      </c>
      <c r="K47" s="2">
        <v>29.0</v>
      </c>
      <c r="L47" s="2" t="s">
        <v>232</v>
      </c>
    </row>
    <row r="48">
      <c r="A48" s="2" t="s">
        <v>17</v>
      </c>
      <c r="B48" s="2" t="s">
        <v>229</v>
      </c>
      <c r="C48" s="2" t="s">
        <v>18</v>
      </c>
      <c r="D48" s="2" t="s">
        <v>208</v>
      </c>
      <c r="E48" s="2"/>
      <c r="F48" s="2"/>
      <c r="G48" s="2">
        <v>116.0</v>
      </c>
      <c r="H48" s="2">
        <v>0.09</v>
      </c>
      <c r="I48" s="2" t="s">
        <v>221</v>
      </c>
      <c r="J48" s="2">
        <v>0.02</v>
      </c>
      <c r="K48" s="2">
        <v>29.0</v>
      </c>
      <c r="L48" s="2" t="s">
        <v>233</v>
      </c>
    </row>
    <row r="49">
      <c r="A49" s="2" t="s">
        <v>48</v>
      </c>
      <c r="B49" s="2"/>
      <c r="C49" s="2" t="s">
        <v>12</v>
      </c>
      <c r="D49" s="2" t="s">
        <v>227</v>
      </c>
      <c r="E49" s="2">
        <v>77.92</v>
      </c>
      <c r="F49" s="2">
        <v>44.84</v>
      </c>
      <c r="G49" s="2">
        <v>78.0</v>
      </c>
      <c r="H49" s="2">
        <v>-55.48</v>
      </c>
      <c r="I49" s="2" t="s">
        <v>221</v>
      </c>
      <c r="K49" s="2">
        <v>354.0</v>
      </c>
    </row>
    <row r="50">
      <c r="A50" s="2" t="s">
        <v>51</v>
      </c>
      <c r="B50" s="2"/>
      <c r="C50" s="2" t="s">
        <v>18</v>
      </c>
      <c r="D50" s="2" t="s">
        <v>227</v>
      </c>
      <c r="E50" s="2">
        <v>75.03</v>
      </c>
      <c r="F50" s="2">
        <v>41.82</v>
      </c>
      <c r="G50" s="2">
        <v>78.0</v>
      </c>
      <c r="H50" s="2">
        <v>3.64</v>
      </c>
      <c r="I50" s="2" t="s">
        <v>221</v>
      </c>
      <c r="K50" s="2">
        <v>344.0</v>
      </c>
    </row>
    <row r="51">
      <c r="A51" s="3" t="s">
        <v>79</v>
      </c>
      <c r="B51" s="2"/>
      <c r="C51" s="2" t="s">
        <v>12</v>
      </c>
      <c r="D51" s="2" t="s">
        <v>227</v>
      </c>
      <c r="E51" s="2">
        <v>102.4</v>
      </c>
      <c r="F51" s="2">
        <v>34.7</v>
      </c>
      <c r="G51" s="2">
        <v>76.0</v>
      </c>
      <c r="H51" s="2">
        <v>-88.0</v>
      </c>
      <c r="I51" s="2" t="s">
        <v>221</v>
      </c>
      <c r="J51" s="2" t="s">
        <v>235</v>
      </c>
      <c r="K51" s="2">
        <v>470.0</v>
      </c>
      <c r="L51" s="2" t="s">
        <v>236</v>
      </c>
    </row>
    <row r="52">
      <c r="A52" s="3" t="s">
        <v>82</v>
      </c>
      <c r="B52" s="2"/>
      <c r="C52" s="2" t="s">
        <v>18</v>
      </c>
      <c r="D52" s="2" t="s">
        <v>227</v>
      </c>
      <c r="E52" s="2">
        <v>100.9</v>
      </c>
      <c r="F52" s="2">
        <v>35.1</v>
      </c>
      <c r="G52" s="2">
        <v>76.0</v>
      </c>
      <c r="H52" s="2">
        <v>0.2</v>
      </c>
      <c r="I52" s="2" t="s">
        <v>221</v>
      </c>
      <c r="J52" s="2" t="s">
        <v>237</v>
      </c>
      <c r="K52" s="2">
        <v>433.0</v>
      </c>
      <c r="L52" s="2" t="s">
        <v>236</v>
      </c>
    </row>
    <row r="53">
      <c r="A53" s="3" t="s">
        <v>79</v>
      </c>
      <c r="C53" s="2" t="s">
        <v>12</v>
      </c>
      <c r="D53" s="2" t="s">
        <v>208</v>
      </c>
      <c r="G53" s="2">
        <v>76.0</v>
      </c>
      <c r="H53" s="2">
        <v>0.0401</v>
      </c>
      <c r="I53" s="2" t="s">
        <v>238</v>
      </c>
      <c r="J53" s="2">
        <v>0.00398</v>
      </c>
      <c r="K53" s="2">
        <v>578.0</v>
      </c>
      <c r="L53" s="2" t="s">
        <v>239</v>
      </c>
    </row>
    <row r="54">
      <c r="A54" s="3" t="s">
        <v>82</v>
      </c>
      <c r="C54" s="2" t="s">
        <v>18</v>
      </c>
      <c r="D54" s="2" t="s">
        <v>208</v>
      </c>
      <c r="G54" s="2">
        <v>76.0</v>
      </c>
      <c r="H54" s="2">
        <v>0.0442</v>
      </c>
      <c r="I54" s="2" t="s">
        <v>238</v>
      </c>
      <c r="J54" s="2">
        <v>0.00374</v>
      </c>
      <c r="K54" s="2">
        <v>654.0</v>
      </c>
      <c r="L54" s="2" t="s">
        <v>239</v>
      </c>
    </row>
    <row r="55">
      <c r="A55" s="2" t="s">
        <v>83</v>
      </c>
      <c r="C55" s="2" t="s">
        <v>72</v>
      </c>
      <c r="D55" s="2" t="s">
        <v>205</v>
      </c>
      <c r="G55" s="2">
        <v>71.0</v>
      </c>
      <c r="H55" s="2">
        <v>-0.04</v>
      </c>
      <c r="I55" s="2" t="s">
        <v>221</v>
      </c>
      <c r="J55" s="2">
        <v>0.03</v>
      </c>
      <c r="K55" s="2">
        <v>15.0</v>
      </c>
      <c r="L55" s="2" t="s">
        <v>240</v>
      </c>
    </row>
    <row r="56">
      <c r="A56" s="2" t="s">
        <v>85</v>
      </c>
      <c r="C56" s="2" t="s">
        <v>75</v>
      </c>
      <c r="D56" s="2" t="s">
        <v>205</v>
      </c>
      <c r="G56" s="2">
        <v>71.0</v>
      </c>
      <c r="H56" s="2">
        <v>0.03</v>
      </c>
      <c r="I56" s="2" t="s">
        <v>221</v>
      </c>
      <c r="J56" s="2">
        <v>0.04</v>
      </c>
      <c r="K56" s="2">
        <v>12.0</v>
      </c>
      <c r="L56" s="2" t="s">
        <v>240</v>
      </c>
    </row>
    <row r="57">
      <c r="A57" s="2" t="s">
        <v>86</v>
      </c>
      <c r="C57" s="2" t="s">
        <v>29</v>
      </c>
      <c r="D57" s="2" t="s">
        <v>205</v>
      </c>
      <c r="G57" s="2">
        <v>71.0</v>
      </c>
      <c r="H57" s="2">
        <v>-0.04</v>
      </c>
      <c r="I57" s="2" t="s">
        <v>221</v>
      </c>
      <c r="J57" s="2">
        <v>0.08</v>
      </c>
      <c r="K57" s="2">
        <v>6.0</v>
      </c>
      <c r="L57" s="2" t="s">
        <v>240</v>
      </c>
    </row>
    <row r="58">
      <c r="A58" s="2" t="s">
        <v>87</v>
      </c>
      <c r="C58" s="2" t="s">
        <v>33</v>
      </c>
      <c r="D58" s="2" t="s">
        <v>205</v>
      </c>
      <c r="G58" s="2">
        <v>71.0</v>
      </c>
      <c r="H58" s="2">
        <v>0.0</v>
      </c>
      <c r="I58" s="2" t="s">
        <v>221</v>
      </c>
      <c r="J58" s="2">
        <v>0.05</v>
      </c>
      <c r="K58" s="2">
        <v>11.0</v>
      </c>
      <c r="L58" s="2" t="s">
        <v>240</v>
      </c>
    </row>
    <row r="59">
      <c r="A59" s="2" t="s">
        <v>88</v>
      </c>
      <c r="C59" s="2" t="s">
        <v>89</v>
      </c>
      <c r="D59" s="2" t="s">
        <v>205</v>
      </c>
      <c r="G59" s="2">
        <v>71.0</v>
      </c>
      <c r="H59" s="2">
        <v>0.02</v>
      </c>
      <c r="I59" s="2" t="s">
        <v>221</v>
      </c>
      <c r="J59" s="2">
        <v>0.04</v>
      </c>
      <c r="K59" s="2">
        <v>13.0</v>
      </c>
      <c r="L59" s="2" t="s">
        <v>240</v>
      </c>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row r="1003">
      <c r="A1003" s="8"/>
    </row>
    <row r="1004">
      <c r="A1004" s="8"/>
    </row>
    <row r="1005">
      <c r="A1005" s="8"/>
    </row>
    <row r="1006">
      <c r="A1006" s="8"/>
    </row>
    <row r="1007">
      <c r="A1007" s="8"/>
    </row>
    <row r="1008">
      <c r="A1008" s="8"/>
    </row>
    <row r="1009">
      <c r="A1009" s="8"/>
    </row>
    <row r="1010">
      <c r="A1010" s="8"/>
    </row>
    <row r="1011">
      <c r="A1011" s="8"/>
    </row>
    <row r="1012">
      <c r="A1012" s="8"/>
    </row>
    <row r="1013">
      <c r="A1013" s="8"/>
    </row>
    <row r="1014">
      <c r="A1014" s="8"/>
    </row>
    <row r="1015">
      <c r="A1015" s="8"/>
    </row>
    <row r="1016">
      <c r="A1016" s="8"/>
    </row>
    <row r="1017">
      <c r="A1017" s="8"/>
    </row>
    <row r="1018">
      <c r="A1018" s="8"/>
    </row>
  </sheetData>
  <dataValidations>
    <dataValidation type="custom" allowBlank="1" showDropDown="1" showInputMessage="1" showErrorMessage="1" prompt="Enter a value that satisfies the formula: =REGEXMATCH( TO_TEXT(A2), &quot;^[0-9]{4}_[A-Za-z]{3}_[A-Za-z]{3}_[0-9]{2}$&quot; )  " sqref="A2:A1018">
      <formula1>REGEXMATCH( TO_TEXT(A2), "^[0-9]{4}_[A-Za-z]{3}_[A-Za-z]{3}_[0-9]{2}$" )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168</v>
      </c>
      <c r="B1" s="1" t="s">
        <v>241</v>
      </c>
      <c r="C1" s="1" t="s">
        <v>2</v>
      </c>
      <c r="D1" s="1" t="s">
        <v>242</v>
      </c>
      <c r="E1" s="1" t="s">
        <v>204</v>
      </c>
      <c r="F1" s="1" t="s">
        <v>143</v>
      </c>
      <c r="G1" s="1" t="s">
        <v>169</v>
      </c>
      <c r="H1" s="1" t="s">
        <v>170</v>
      </c>
      <c r="I1" s="1" t="s">
        <v>171</v>
      </c>
      <c r="J1" s="1" t="s">
        <v>172</v>
      </c>
      <c r="K1" s="1" t="s">
        <v>151</v>
      </c>
      <c r="L1" s="1" t="s">
        <v>159</v>
      </c>
    </row>
    <row r="2">
      <c r="A2" s="2" t="s">
        <v>10</v>
      </c>
      <c r="B2" s="2"/>
      <c r="C2" s="2" t="s">
        <v>12</v>
      </c>
      <c r="D2" s="2" t="s">
        <v>243</v>
      </c>
      <c r="E2" s="2">
        <v>1309.97</v>
      </c>
      <c r="F2" s="2"/>
      <c r="G2" s="2">
        <v>116.0</v>
      </c>
      <c r="H2" s="2"/>
      <c r="I2" s="2"/>
      <c r="J2" s="2"/>
      <c r="K2" s="2">
        <v>499.0</v>
      </c>
    </row>
    <row r="3">
      <c r="A3" s="2" t="s">
        <v>17</v>
      </c>
      <c r="B3" s="2"/>
      <c r="C3" s="2" t="s">
        <v>18</v>
      </c>
      <c r="D3" s="2" t="s">
        <v>243</v>
      </c>
      <c r="E3" s="2">
        <v>1304.17</v>
      </c>
      <c r="F3" s="2"/>
      <c r="G3" s="2">
        <v>116.0</v>
      </c>
      <c r="H3" s="2"/>
      <c r="I3" s="2"/>
      <c r="J3" s="2"/>
      <c r="K3" s="2">
        <v>485.0</v>
      </c>
    </row>
    <row r="4">
      <c r="A4" s="2" t="s">
        <v>19</v>
      </c>
      <c r="B4" s="2"/>
      <c r="C4" s="2" t="s">
        <v>12</v>
      </c>
      <c r="D4" s="2" t="s">
        <v>243</v>
      </c>
      <c r="E4" s="2">
        <v>1314.77</v>
      </c>
      <c r="F4" s="2"/>
      <c r="G4" s="2">
        <v>116.0</v>
      </c>
      <c r="H4" s="2"/>
      <c r="I4" s="2"/>
      <c r="J4" s="2"/>
      <c r="K4" s="2">
        <v>498.0</v>
      </c>
    </row>
    <row r="5">
      <c r="A5" s="2" t="s">
        <v>21</v>
      </c>
      <c r="B5" s="2"/>
      <c r="C5" s="2" t="s">
        <v>18</v>
      </c>
      <c r="D5" s="2" t="s">
        <v>243</v>
      </c>
      <c r="E5" s="2">
        <v>1317.89</v>
      </c>
      <c r="F5" s="2"/>
      <c r="G5" s="2">
        <v>116.0</v>
      </c>
      <c r="H5" s="2"/>
      <c r="I5" s="2"/>
      <c r="J5" s="2"/>
      <c r="K5" s="2">
        <v>477.0</v>
      </c>
    </row>
    <row r="6">
      <c r="A6" s="2" t="s">
        <v>22</v>
      </c>
      <c r="B6" s="2" t="s">
        <v>160</v>
      </c>
      <c r="C6" s="2" t="s">
        <v>24</v>
      </c>
      <c r="D6" s="2" t="s">
        <v>243</v>
      </c>
      <c r="F6" s="2"/>
      <c r="G6" s="2">
        <v>77.0</v>
      </c>
      <c r="H6" s="2"/>
      <c r="I6" s="2"/>
      <c r="J6" s="2"/>
    </row>
    <row r="7">
      <c r="A7" s="2" t="s">
        <v>28</v>
      </c>
      <c r="B7" s="2" t="s">
        <v>160</v>
      </c>
      <c r="C7" s="2" t="s">
        <v>29</v>
      </c>
      <c r="D7" s="2" t="s">
        <v>243</v>
      </c>
      <c r="F7" s="2"/>
      <c r="G7" s="2">
        <v>77.0</v>
      </c>
      <c r="H7" s="2"/>
      <c r="I7" s="2"/>
      <c r="J7" s="2"/>
    </row>
    <row r="8">
      <c r="A8" s="2" t="s">
        <v>30</v>
      </c>
      <c r="B8" s="2" t="s">
        <v>161</v>
      </c>
      <c r="C8" s="2" t="s">
        <v>31</v>
      </c>
      <c r="D8" s="2" t="s">
        <v>243</v>
      </c>
      <c r="F8" s="2"/>
      <c r="G8" s="2">
        <v>77.0</v>
      </c>
      <c r="H8" s="2"/>
      <c r="I8" s="2"/>
      <c r="J8" s="2"/>
    </row>
    <row r="9">
      <c r="A9" s="2" t="s">
        <v>32</v>
      </c>
      <c r="B9" s="2" t="s">
        <v>161</v>
      </c>
      <c r="C9" s="2" t="s">
        <v>33</v>
      </c>
      <c r="D9" s="2" t="s">
        <v>243</v>
      </c>
      <c r="F9" s="2"/>
      <c r="G9" s="2">
        <v>77.0</v>
      </c>
      <c r="H9" s="2"/>
      <c r="I9" s="2"/>
      <c r="J9" s="2"/>
    </row>
    <row r="10">
      <c r="A10" s="2" t="s">
        <v>34</v>
      </c>
      <c r="C10" s="2" t="s">
        <v>18</v>
      </c>
      <c r="D10" s="2" t="s">
        <v>243</v>
      </c>
      <c r="F10" s="2"/>
      <c r="G10" s="2">
        <v>77.0</v>
      </c>
      <c r="H10" s="2"/>
      <c r="I10" s="2"/>
      <c r="J10" s="2"/>
    </row>
    <row r="11">
      <c r="A11" s="2" t="s">
        <v>35</v>
      </c>
      <c r="B11" s="2" t="s">
        <v>160</v>
      </c>
      <c r="C11" s="2" t="s">
        <v>24</v>
      </c>
      <c r="D11" s="2" t="s">
        <v>243</v>
      </c>
      <c r="F11" s="2"/>
      <c r="G11" s="2">
        <v>77.0</v>
      </c>
      <c r="H11" s="2"/>
      <c r="I11" s="2"/>
      <c r="J11" s="2"/>
    </row>
    <row r="12">
      <c r="A12" s="2" t="s">
        <v>37</v>
      </c>
      <c r="B12" s="2" t="s">
        <v>160</v>
      </c>
      <c r="C12" s="2" t="s">
        <v>29</v>
      </c>
      <c r="D12" s="2" t="s">
        <v>243</v>
      </c>
      <c r="F12" s="2"/>
      <c r="G12" s="2">
        <v>77.0</v>
      </c>
      <c r="H12" s="2"/>
      <c r="I12" s="2"/>
      <c r="J12" s="2"/>
    </row>
    <row r="13">
      <c r="A13" s="2" t="s">
        <v>38</v>
      </c>
      <c r="B13" s="2" t="s">
        <v>161</v>
      </c>
      <c r="C13" s="2" t="s">
        <v>31</v>
      </c>
      <c r="D13" s="2" t="s">
        <v>243</v>
      </c>
      <c r="F13" s="2"/>
      <c r="G13" s="2">
        <v>77.0</v>
      </c>
      <c r="H13" s="2"/>
      <c r="I13" s="2"/>
      <c r="J13" s="2"/>
    </row>
    <row r="14">
      <c r="A14" s="2" t="s">
        <v>39</v>
      </c>
      <c r="B14" s="2" t="s">
        <v>161</v>
      </c>
      <c r="C14" s="2" t="s">
        <v>33</v>
      </c>
      <c r="D14" s="2" t="s">
        <v>243</v>
      </c>
      <c r="F14" s="2"/>
      <c r="G14" s="2">
        <v>77.0</v>
      </c>
      <c r="H14" s="2"/>
      <c r="I14" s="2"/>
      <c r="J14" s="2"/>
    </row>
    <row r="15">
      <c r="A15" s="2" t="s">
        <v>40</v>
      </c>
      <c r="C15" s="2" t="s">
        <v>18</v>
      </c>
      <c r="D15" s="2" t="s">
        <v>243</v>
      </c>
      <c r="F15" s="2"/>
      <c r="G15" s="2">
        <v>77.0</v>
      </c>
      <c r="H15" s="2"/>
      <c r="I15" s="2"/>
      <c r="J15" s="2"/>
    </row>
    <row r="16">
      <c r="A16" s="2" t="s">
        <v>41</v>
      </c>
      <c r="B16" s="2" t="s">
        <v>244</v>
      </c>
      <c r="C16" s="2" t="s">
        <v>12</v>
      </c>
      <c r="D16" s="2" t="s">
        <v>243</v>
      </c>
      <c r="E16" s="2">
        <v>1021.04</v>
      </c>
      <c r="F16" s="2">
        <v>102.15</v>
      </c>
      <c r="G16" s="2">
        <v>80.0</v>
      </c>
      <c r="H16" s="2">
        <v>-19.68</v>
      </c>
      <c r="I16" s="2"/>
      <c r="J16" s="2">
        <v>0.62</v>
      </c>
      <c r="K16" s="2">
        <v>573.0</v>
      </c>
      <c r="L16" s="2" t="s">
        <v>245</v>
      </c>
    </row>
    <row r="17">
      <c r="A17" s="2" t="s">
        <v>44</v>
      </c>
      <c r="B17" s="2" t="s">
        <v>244</v>
      </c>
      <c r="C17" s="2" t="s">
        <v>18</v>
      </c>
      <c r="D17" s="2" t="s">
        <v>243</v>
      </c>
      <c r="E17" s="2">
        <v>1022.66</v>
      </c>
      <c r="F17" s="2">
        <v>108.26</v>
      </c>
      <c r="G17" s="2">
        <v>80.0</v>
      </c>
      <c r="H17" s="2">
        <v>-20.18</v>
      </c>
      <c r="I17" s="2"/>
      <c r="J17" s="2">
        <v>0.61</v>
      </c>
      <c r="K17" s="2">
        <v>606.0</v>
      </c>
      <c r="L17" s="2" t="s">
        <v>245</v>
      </c>
    </row>
    <row r="18">
      <c r="A18" s="2" t="s">
        <v>45</v>
      </c>
      <c r="B18" s="2" t="s">
        <v>244</v>
      </c>
      <c r="C18" s="2" t="s">
        <v>12</v>
      </c>
      <c r="D18" s="2" t="s">
        <v>243</v>
      </c>
      <c r="E18" s="2" t="s">
        <v>244</v>
      </c>
      <c r="F18" s="2">
        <v>80.0</v>
      </c>
      <c r="G18" s="2">
        <v>80.0</v>
      </c>
      <c r="H18" s="2" t="s">
        <v>244</v>
      </c>
      <c r="I18" s="2"/>
      <c r="J18" s="2" t="s">
        <v>244</v>
      </c>
      <c r="K18" s="2" t="s">
        <v>244</v>
      </c>
      <c r="L18" s="2" t="s">
        <v>245</v>
      </c>
    </row>
    <row r="19">
      <c r="A19" s="2" t="s">
        <v>47</v>
      </c>
      <c r="B19" s="2" t="s">
        <v>244</v>
      </c>
      <c r="C19" s="2" t="s">
        <v>18</v>
      </c>
      <c r="D19" s="2" t="s">
        <v>243</v>
      </c>
      <c r="E19" s="2" t="s">
        <v>244</v>
      </c>
      <c r="F19" s="2">
        <v>80.0</v>
      </c>
      <c r="G19" s="2">
        <v>80.0</v>
      </c>
      <c r="H19" s="2" t="s">
        <v>244</v>
      </c>
      <c r="I19" s="2"/>
      <c r="J19" s="2" t="s">
        <v>244</v>
      </c>
      <c r="K19" s="2" t="s">
        <v>244</v>
      </c>
      <c r="L19" s="2" t="s">
        <v>245</v>
      </c>
    </row>
    <row r="20">
      <c r="A20" s="2" t="s">
        <v>52</v>
      </c>
      <c r="C20" s="2" t="s">
        <v>12</v>
      </c>
      <c r="D20" s="2" t="s">
        <v>243</v>
      </c>
      <c r="F20" s="2"/>
      <c r="G20" s="2">
        <v>80.0</v>
      </c>
      <c r="H20" s="2">
        <v>-22.5</v>
      </c>
      <c r="I20" s="2" t="s">
        <v>209</v>
      </c>
      <c r="J20" s="2">
        <v>0.45</v>
      </c>
      <c r="K20" s="2"/>
      <c r="L20" s="2" t="s">
        <v>246</v>
      </c>
    </row>
    <row r="21">
      <c r="A21" s="2" t="s">
        <v>55</v>
      </c>
      <c r="C21" s="2" t="s">
        <v>18</v>
      </c>
      <c r="D21" s="2" t="s">
        <v>243</v>
      </c>
      <c r="F21" s="2"/>
      <c r="G21" s="2">
        <v>80.0</v>
      </c>
      <c r="H21" s="2">
        <v>-23.4</v>
      </c>
      <c r="I21" s="2" t="s">
        <v>209</v>
      </c>
      <c r="J21" s="2">
        <v>0.45</v>
      </c>
      <c r="K21" s="2"/>
      <c r="L21" s="2" t="s">
        <v>246</v>
      </c>
    </row>
    <row r="22">
      <c r="A22" s="2" t="s">
        <v>71</v>
      </c>
      <c r="B22" s="2"/>
      <c r="C22" s="2" t="s">
        <v>72</v>
      </c>
      <c r="D22" s="2" t="s">
        <v>247</v>
      </c>
      <c r="F22" s="2"/>
      <c r="G22" s="2">
        <v>71.0</v>
      </c>
      <c r="H22" s="2">
        <v>19.9</v>
      </c>
      <c r="I22" s="2" t="s">
        <v>176</v>
      </c>
      <c r="J22" s="2">
        <v>0.5</v>
      </c>
      <c r="K22" s="2">
        <v>352.0</v>
      </c>
      <c r="L22" s="2"/>
    </row>
    <row r="23">
      <c r="A23" s="2" t="s">
        <v>74</v>
      </c>
      <c r="B23" s="2"/>
      <c r="C23" s="2" t="s">
        <v>75</v>
      </c>
      <c r="D23" s="2" t="s">
        <v>247</v>
      </c>
      <c r="F23" s="2"/>
      <c r="G23" s="2">
        <v>71.0</v>
      </c>
      <c r="H23" s="2">
        <v>18.7</v>
      </c>
      <c r="I23" s="2" t="s">
        <v>176</v>
      </c>
      <c r="J23" s="2">
        <v>0.586</v>
      </c>
      <c r="K23" s="2">
        <v>238.0</v>
      </c>
      <c r="L23" s="2" t="s">
        <v>248</v>
      </c>
    </row>
    <row r="24">
      <c r="A24" s="2" t="s">
        <v>76</v>
      </c>
      <c r="C24" s="2" t="s">
        <v>66</v>
      </c>
      <c r="D24" s="2" t="s">
        <v>247</v>
      </c>
      <c r="F24" s="2"/>
      <c r="G24" s="2">
        <v>71.0</v>
      </c>
      <c r="H24" s="2">
        <v>17.2</v>
      </c>
      <c r="I24" s="2" t="s">
        <v>176</v>
      </c>
      <c r="J24" s="2">
        <v>0.73</v>
      </c>
      <c r="K24" s="2">
        <v>169.0</v>
      </c>
      <c r="L24" s="2" t="s">
        <v>248</v>
      </c>
    </row>
    <row r="25">
      <c r="A25" s="2" t="s">
        <v>77</v>
      </c>
      <c r="C25" s="2" t="s">
        <v>69</v>
      </c>
      <c r="D25" s="2" t="s">
        <v>247</v>
      </c>
      <c r="F25" s="2"/>
      <c r="G25" s="2">
        <v>71.0</v>
      </c>
      <c r="H25" s="2">
        <v>19.0</v>
      </c>
      <c r="I25" s="2" t="s">
        <v>176</v>
      </c>
      <c r="J25" s="2">
        <v>0.79</v>
      </c>
      <c r="K25" s="2">
        <v>146.0</v>
      </c>
      <c r="L25" s="2" t="s">
        <v>248</v>
      </c>
    </row>
    <row r="26">
      <c r="A26" s="2" t="s">
        <v>78</v>
      </c>
      <c r="C26" s="2" t="s">
        <v>18</v>
      </c>
      <c r="D26" s="2" t="s">
        <v>247</v>
      </c>
      <c r="F26" s="2"/>
      <c r="G26" s="2">
        <v>71.0</v>
      </c>
      <c r="H26" s="2">
        <v>17.5</v>
      </c>
      <c r="I26" s="2" t="s">
        <v>176</v>
      </c>
      <c r="J26" s="2">
        <v>0.61</v>
      </c>
      <c r="K26" s="2">
        <v>244.0</v>
      </c>
      <c r="L26" s="2" t="s">
        <v>248</v>
      </c>
    </row>
    <row r="27">
      <c r="A27" s="2" t="s">
        <v>48</v>
      </c>
      <c r="C27" s="2" t="s">
        <v>12</v>
      </c>
    </row>
    <row r="28">
      <c r="A28" s="2" t="s">
        <v>51</v>
      </c>
      <c r="C28" s="2" t="s">
        <v>18</v>
      </c>
    </row>
    <row r="29">
      <c r="A29" s="2" t="s">
        <v>56</v>
      </c>
      <c r="C29" s="2" t="s">
        <v>12</v>
      </c>
      <c r="G29" s="2">
        <v>105.0</v>
      </c>
      <c r="H29" s="2">
        <v>-2.65</v>
      </c>
      <c r="I29" s="2" t="s">
        <v>221</v>
      </c>
      <c r="J29" s="2">
        <v>0.092</v>
      </c>
      <c r="K29" s="2">
        <v>172.0</v>
      </c>
      <c r="L29" s="2" t="s">
        <v>249</v>
      </c>
    </row>
    <row r="30">
      <c r="A30" s="2" t="s">
        <v>60</v>
      </c>
      <c r="C30" s="2" t="s">
        <v>18</v>
      </c>
      <c r="G30" s="2">
        <v>105.0</v>
      </c>
      <c r="H30" s="2">
        <v>-2.66</v>
      </c>
      <c r="I30" s="2" t="s">
        <v>221</v>
      </c>
      <c r="J30" s="2">
        <v>0.091</v>
      </c>
      <c r="K30" s="2">
        <v>180.0</v>
      </c>
      <c r="L30" s="2" t="s">
        <v>249</v>
      </c>
    </row>
    <row r="31">
      <c r="A31" s="2" t="s">
        <v>61</v>
      </c>
      <c r="C31" s="2" t="s">
        <v>12</v>
      </c>
      <c r="G31" s="2">
        <v>105.0</v>
      </c>
      <c r="H31" s="2">
        <v>-2.15</v>
      </c>
      <c r="I31" s="2" t="s">
        <v>221</v>
      </c>
      <c r="J31" s="2">
        <v>0.345</v>
      </c>
      <c r="K31" s="2">
        <v>4.0</v>
      </c>
    </row>
    <row r="32">
      <c r="A32" s="2" t="s">
        <v>63</v>
      </c>
      <c r="C32" s="2" t="s">
        <v>18</v>
      </c>
      <c r="G32" s="2">
        <v>105.0</v>
      </c>
      <c r="H32" s="2">
        <v>-2.71</v>
      </c>
      <c r="I32" s="2" t="s">
        <v>221</v>
      </c>
      <c r="J32" s="2">
        <v>0.444</v>
      </c>
      <c r="K32" s="2">
        <v>4.0</v>
      </c>
    </row>
    <row r="33">
      <c r="A33" s="2" t="s">
        <v>64</v>
      </c>
      <c r="C33" s="2" t="s">
        <v>66</v>
      </c>
    </row>
    <row r="34">
      <c r="A34" s="2" t="s">
        <v>68</v>
      </c>
      <c r="C34" s="2" t="s">
        <v>69</v>
      </c>
    </row>
    <row r="35">
      <c r="A35" s="2" t="s">
        <v>70</v>
      </c>
      <c r="C35" s="2" t="s">
        <v>18</v>
      </c>
    </row>
    <row r="36">
      <c r="A36" s="3" t="s">
        <v>79</v>
      </c>
      <c r="B36" s="3"/>
      <c r="C36" s="3" t="s">
        <v>12</v>
      </c>
      <c r="G36" s="2">
        <v>76.0</v>
      </c>
      <c r="H36" s="2">
        <v>-27.46</v>
      </c>
      <c r="I36" s="2" t="s">
        <v>221</v>
      </c>
      <c r="J36" s="2">
        <v>0.409</v>
      </c>
      <c r="K36" s="2">
        <v>786.0</v>
      </c>
      <c r="L36" s="2" t="s">
        <v>250</v>
      </c>
    </row>
    <row r="37">
      <c r="A37" s="3" t="s">
        <v>82</v>
      </c>
      <c r="B37" s="3"/>
      <c r="C37" s="3" t="s">
        <v>18</v>
      </c>
      <c r="G37" s="2">
        <v>76.0</v>
      </c>
      <c r="H37" s="2">
        <v>-20.79</v>
      </c>
      <c r="I37" s="2" t="s">
        <v>221</v>
      </c>
      <c r="J37" s="2">
        <v>0.392</v>
      </c>
      <c r="K37" s="2">
        <v>831.0</v>
      </c>
      <c r="L37" s="2" t="s">
        <v>250</v>
      </c>
    </row>
    <row r="38">
      <c r="A38" s="2" t="s">
        <v>83</v>
      </c>
      <c r="C38" s="2" t="s">
        <v>72</v>
      </c>
      <c r="G38" s="2">
        <v>71.0</v>
      </c>
      <c r="H38" s="2">
        <v>17.51</v>
      </c>
      <c r="I38" s="2" t="s">
        <v>209</v>
      </c>
      <c r="J38" s="2">
        <v>0.56</v>
      </c>
      <c r="K38" s="2">
        <v>197.0</v>
      </c>
      <c r="L38" s="2" t="s">
        <v>251</v>
      </c>
    </row>
    <row r="39">
      <c r="A39" s="2" t="s">
        <v>85</v>
      </c>
      <c r="C39" s="2" t="s">
        <v>75</v>
      </c>
      <c r="G39" s="2">
        <v>71.0</v>
      </c>
      <c r="H39" s="2">
        <v>17.64</v>
      </c>
      <c r="I39" s="2" t="s">
        <v>209</v>
      </c>
      <c r="J39" s="2">
        <v>0.69</v>
      </c>
      <c r="K39" s="2">
        <v>131.0</v>
      </c>
      <c r="L39" s="2" t="s">
        <v>251</v>
      </c>
    </row>
    <row r="40">
      <c r="A40" s="2" t="s">
        <v>86</v>
      </c>
      <c r="C40" s="2" t="s">
        <v>29</v>
      </c>
      <c r="D40" s="2" t="s">
        <v>252</v>
      </c>
      <c r="G40" s="2">
        <v>71.0</v>
      </c>
      <c r="H40" s="2">
        <v>18.55</v>
      </c>
      <c r="I40" s="2" t="s">
        <v>209</v>
      </c>
      <c r="J40" s="2">
        <v>0.97</v>
      </c>
      <c r="K40" s="2">
        <v>122.0</v>
      </c>
      <c r="L40" s="2" t="s">
        <v>251</v>
      </c>
    </row>
    <row r="41">
      <c r="A41" s="2" t="s">
        <v>87</v>
      </c>
      <c r="C41" s="2" t="s">
        <v>33</v>
      </c>
      <c r="D41" s="2" t="s">
        <v>252</v>
      </c>
      <c r="G41" s="2">
        <v>71.0</v>
      </c>
      <c r="H41" s="2">
        <v>18.6</v>
      </c>
      <c r="I41" s="2" t="s">
        <v>209</v>
      </c>
      <c r="J41" s="2">
        <v>1.0</v>
      </c>
      <c r="K41" s="2">
        <v>121.0</v>
      </c>
      <c r="L41" s="2" t="s">
        <v>251</v>
      </c>
    </row>
    <row r="42">
      <c r="A42" s="2" t="s">
        <v>88</v>
      </c>
      <c r="C42" s="2" t="s">
        <v>89</v>
      </c>
      <c r="D42" s="2" t="s">
        <v>252</v>
      </c>
      <c r="G42" s="2">
        <v>71.0</v>
      </c>
      <c r="H42" s="2">
        <v>17.54</v>
      </c>
      <c r="I42" s="2" t="s">
        <v>209</v>
      </c>
      <c r="J42" s="2">
        <v>0.86</v>
      </c>
      <c r="K42" s="2">
        <v>153.0</v>
      </c>
      <c r="L42" s="2" t="s">
        <v>251</v>
      </c>
    </row>
  </sheetData>
  <dataValidations>
    <dataValidation type="custom" allowBlank="1" showDropDown="1" showInputMessage="1" showErrorMessage="1" prompt="Enter a value that satisfies the formula: =REGEXMATCH( TO_TEXT(A2), &quot;^[0-9]{4}_[A-Za-z]{3}_[A-Za-z]{3}_[0-9]{2}$&quot; )  " sqref="A2:A5 A16:A42">
      <formula1>REGEXMATCH( TO_TEXT(A2), "^[0-9]{4}_[A-Za-z]{3}_[A-Za-z]{3}_[0-9]{2}$" )  </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168</v>
      </c>
      <c r="B1" s="1" t="s">
        <v>241</v>
      </c>
      <c r="C1" s="1" t="s">
        <v>202</v>
      </c>
      <c r="D1" s="1" t="s">
        <v>204</v>
      </c>
      <c r="E1" s="1" t="s">
        <v>143</v>
      </c>
      <c r="F1" s="1" t="s">
        <v>242</v>
      </c>
      <c r="G1" s="1" t="s">
        <v>169</v>
      </c>
      <c r="H1" s="9" t="s">
        <v>170</v>
      </c>
      <c r="I1" s="9" t="s">
        <v>171</v>
      </c>
      <c r="J1" s="9" t="s">
        <v>172</v>
      </c>
      <c r="K1" s="1" t="s">
        <v>151</v>
      </c>
      <c r="L1" s="1" t="s">
        <v>159</v>
      </c>
    </row>
    <row r="2">
      <c r="A2" s="2" t="s">
        <v>10</v>
      </c>
      <c r="B2" s="2" t="s">
        <v>253</v>
      </c>
      <c r="C2" s="2" t="s">
        <v>12</v>
      </c>
      <c r="D2" s="2">
        <v>14781.0</v>
      </c>
      <c r="E2" s="2">
        <v>3944.4</v>
      </c>
      <c r="F2" s="2" t="s">
        <v>254</v>
      </c>
      <c r="G2" s="2">
        <v>24.0</v>
      </c>
      <c r="H2" s="2">
        <v>3180.0</v>
      </c>
      <c r="I2" s="7" t="s">
        <v>255</v>
      </c>
      <c r="J2" s="2">
        <v>54.0</v>
      </c>
      <c r="K2" s="2">
        <v>139.0</v>
      </c>
    </row>
    <row r="3">
      <c r="A3" s="2" t="s">
        <v>17</v>
      </c>
      <c r="B3" s="2" t="s">
        <v>256</v>
      </c>
      <c r="C3" s="2" t="s">
        <v>18</v>
      </c>
      <c r="D3" s="2">
        <v>15309.4</v>
      </c>
      <c r="E3" s="2">
        <v>3992.5</v>
      </c>
      <c r="F3" s="2" t="s">
        <v>254</v>
      </c>
      <c r="G3" s="2">
        <v>24.0</v>
      </c>
      <c r="H3" s="2">
        <v>43.1</v>
      </c>
      <c r="I3" s="7" t="s">
        <v>255</v>
      </c>
      <c r="J3" s="7">
        <v>55.4</v>
      </c>
      <c r="K3" s="2">
        <v>139.0</v>
      </c>
    </row>
    <row r="4">
      <c r="A4" s="2" t="s">
        <v>10</v>
      </c>
      <c r="B4" s="2" t="s">
        <v>253</v>
      </c>
      <c r="C4" s="2" t="s">
        <v>12</v>
      </c>
      <c r="D4" s="2">
        <v>14781.0</v>
      </c>
      <c r="E4" s="2">
        <v>3944.4</v>
      </c>
      <c r="F4" s="2" t="s">
        <v>254</v>
      </c>
      <c r="G4" s="2">
        <v>52.0</v>
      </c>
      <c r="H4" s="2">
        <v>3004.8</v>
      </c>
      <c r="I4" s="7" t="s">
        <v>255</v>
      </c>
      <c r="J4" s="7">
        <v>55.7</v>
      </c>
    </row>
    <row r="5">
      <c r="A5" s="2" t="s">
        <v>17</v>
      </c>
      <c r="B5" s="2" t="s">
        <v>256</v>
      </c>
      <c r="C5" s="2" t="s">
        <v>18</v>
      </c>
      <c r="D5" s="2">
        <v>15309.4</v>
      </c>
      <c r="E5" s="2">
        <v>3992.5</v>
      </c>
      <c r="F5" s="2" t="s">
        <v>254</v>
      </c>
      <c r="G5" s="2">
        <v>52.0</v>
      </c>
      <c r="H5" s="2">
        <v>13.9</v>
      </c>
      <c r="I5" s="7" t="s">
        <v>255</v>
      </c>
      <c r="J5" s="7">
        <v>57.1</v>
      </c>
    </row>
    <row r="6">
      <c r="A6" s="2" t="s">
        <v>10</v>
      </c>
      <c r="B6" s="2" t="s">
        <v>253</v>
      </c>
      <c r="C6" s="2" t="s">
        <v>12</v>
      </c>
      <c r="D6" s="2">
        <v>14781.0</v>
      </c>
      <c r="E6" s="2">
        <v>3944.4</v>
      </c>
      <c r="F6" s="2" t="s">
        <v>254</v>
      </c>
      <c r="G6" s="2">
        <v>76.0</v>
      </c>
      <c r="H6" s="2">
        <v>3350.2</v>
      </c>
      <c r="I6" s="7" t="s">
        <v>255</v>
      </c>
      <c r="J6" s="7">
        <v>65.3</v>
      </c>
    </row>
    <row r="7">
      <c r="A7" s="2" t="s">
        <v>17</v>
      </c>
      <c r="B7" s="2" t="s">
        <v>256</v>
      </c>
      <c r="C7" s="2" t="s">
        <v>18</v>
      </c>
      <c r="D7" s="2">
        <v>15309.4</v>
      </c>
      <c r="E7" s="2">
        <v>3992.5</v>
      </c>
      <c r="F7" s="2" t="s">
        <v>254</v>
      </c>
      <c r="G7" s="2">
        <v>76.0</v>
      </c>
      <c r="H7" s="2">
        <v>41.5</v>
      </c>
      <c r="I7" s="7" t="s">
        <v>255</v>
      </c>
      <c r="J7" s="7">
        <v>66.5</v>
      </c>
    </row>
    <row r="8">
      <c r="A8" s="2" t="s">
        <v>10</v>
      </c>
      <c r="B8" s="2" t="s">
        <v>253</v>
      </c>
      <c r="C8" s="2" t="s">
        <v>12</v>
      </c>
      <c r="D8" s="2">
        <v>14781.0</v>
      </c>
      <c r="E8" s="2">
        <v>3944.4</v>
      </c>
      <c r="F8" s="2" t="s">
        <v>254</v>
      </c>
      <c r="G8" s="2">
        <v>104.0</v>
      </c>
      <c r="H8" s="2">
        <v>3381.1</v>
      </c>
      <c r="I8" s="7" t="s">
        <v>255</v>
      </c>
      <c r="J8" s="7">
        <v>94.0</v>
      </c>
    </row>
    <row r="9">
      <c r="A9" s="2" t="s">
        <v>17</v>
      </c>
      <c r="B9" s="2" t="s">
        <v>256</v>
      </c>
      <c r="C9" s="2" t="s">
        <v>18</v>
      </c>
      <c r="D9" s="2">
        <v>15309.4</v>
      </c>
      <c r="E9" s="2">
        <v>3992.5</v>
      </c>
      <c r="F9" s="2" t="s">
        <v>254</v>
      </c>
      <c r="G9" s="2">
        <v>104.0</v>
      </c>
      <c r="H9" s="2">
        <v>32.5</v>
      </c>
      <c r="I9" s="7" t="s">
        <v>255</v>
      </c>
      <c r="J9" s="7">
        <v>95.9</v>
      </c>
    </row>
    <row r="10">
      <c r="A10" s="2" t="s">
        <v>10</v>
      </c>
      <c r="B10" s="2" t="s">
        <v>253</v>
      </c>
      <c r="C10" s="2" t="s">
        <v>12</v>
      </c>
      <c r="D10" s="2">
        <v>14781.0</v>
      </c>
      <c r="E10" s="2">
        <v>3944.4</v>
      </c>
      <c r="F10" s="2" t="s">
        <v>254</v>
      </c>
      <c r="G10" s="2">
        <v>116.0</v>
      </c>
      <c r="H10" s="2">
        <v>3267.8</v>
      </c>
      <c r="I10" s="7" t="s">
        <v>255</v>
      </c>
      <c r="J10" s="7">
        <v>102.9</v>
      </c>
      <c r="K10" s="2">
        <v>114.0</v>
      </c>
    </row>
    <row r="11">
      <c r="A11" s="2" t="s">
        <v>17</v>
      </c>
      <c r="B11" s="2" t="s">
        <v>256</v>
      </c>
      <c r="C11" s="2" t="s">
        <v>18</v>
      </c>
      <c r="D11" s="2">
        <v>15309.4</v>
      </c>
      <c r="E11" s="2">
        <v>3992.5</v>
      </c>
      <c r="F11" s="2" t="s">
        <v>254</v>
      </c>
      <c r="G11" s="2">
        <v>116.0</v>
      </c>
      <c r="H11" s="2">
        <v>13.7</v>
      </c>
      <c r="I11" s="7" t="s">
        <v>255</v>
      </c>
      <c r="J11" s="7">
        <v>104.9</v>
      </c>
      <c r="K11" s="2">
        <v>113.0</v>
      </c>
    </row>
    <row r="12">
      <c r="A12" s="2" t="s">
        <v>22</v>
      </c>
      <c r="B12" s="2" t="s">
        <v>160</v>
      </c>
      <c r="C12" s="2" t="s">
        <v>24</v>
      </c>
      <c r="E12" s="2"/>
      <c r="F12" s="2" t="s">
        <v>254</v>
      </c>
      <c r="J12" s="4"/>
    </row>
    <row r="13">
      <c r="A13" s="2" t="s">
        <v>28</v>
      </c>
      <c r="B13" s="2" t="s">
        <v>160</v>
      </c>
      <c r="C13" s="2" t="s">
        <v>29</v>
      </c>
      <c r="E13" s="2"/>
      <c r="F13" s="2" t="s">
        <v>254</v>
      </c>
      <c r="I13" s="4"/>
      <c r="J13" s="4"/>
    </row>
    <row r="14">
      <c r="A14" s="2" t="s">
        <v>30</v>
      </c>
      <c r="B14" s="2" t="s">
        <v>161</v>
      </c>
      <c r="C14" s="2" t="s">
        <v>31</v>
      </c>
      <c r="E14" s="2"/>
      <c r="F14" s="2" t="s">
        <v>254</v>
      </c>
      <c r="I14" s="4"/>
      <c r="J14" s="4"/>
    </row>
    <row r="15">
      <c r="A15" s="2" t="s">
        <v>32</v>
      </c>
      <c r="B15" s="2" t="s">
        <v>161</v>
      </c>
      <c r="C15" s="2" t="s">
        <v>33</v>
      </c>
      <c r="E15" s="2"/>
      <c r="F15" s="2" t="s">
        <v>254</v>
      </c>
      <c r="I15" s="4"/>
      <c r="J15" s="4"/>
    </row>
    <row r="16">
      <c r="A16" s="2" t="s">
        <v>34</v>
      </c>
      <c r="C16" s="2" t="s">
        <v>18</v>
      </c>
      <c r="E16" s="2"/>
      <c r="F16" s="2" t="s">
        <v>254</v>
      </c>
      <c r="I16" s="4"/>
      <c r="J16" s="4"/>
    </row>
    <row r="17">
      <c r="A17" s="2" t="s">
        <v>35</v>
      </c>
      <c r="B17" s="2" t="s">
        <v>160</v>
      </c>
      <c r="C17" s="2" t="s">
        <v>24</v>
      </c>
      <c r="E17" s="2"/>
      <c r="F17" s="2" t="s">
        <v>254</v>
      </c>
      <c r="I17" s="4"/>
      <c r="J17" s="4"/>
    </row>
    <row r="18">
      <c r="A18" s="2" t="s">
        <v>37</v>
      </c>
      <c r="B18" s="2" t="s">
        <v>160</v>
      </c>
      <c r="C18" s="2" t="s">
        <v>29</v>
      </c>
      <c r="E18" s="2"/>
      <c r="F18" s="2" t="s">
        <v>254</v>
      </c>
      <c r="I18" s="4"/>
      <c r="J18" s="4"/>
    </row>
    <row r="19">
      <c r="A19" s="2" t="s">
        <v>38</v>
      </c>
      <c r="B19" s="2" t="s">
        <v>161</v>
      </c>
      <c r="C19" s="2" t="s">
        <v>31</v>
      </c>
      <c r="E19" s="2"/>
      <c r="F19" s="2" t="s">
        <v>254</v>
      </c>
      <c r="I19" s="4"/>
      <c r="J19" s="4"/>
    </row>
    <row r="20">
      <c r="A20" s="2" t="s">
        <v>39</v>
      </c>
      <c r="B20" s="2" t="s">
        <v>161</v>
      </c>
      <c r="C20" s="2" t="s">
        <v>33</v>
      </c>
      <c r="E20" s="2"/>
      <c r="F20" s="2" t="s">
        <v>254</v>
      </c>
      <c r="I20" s="4"/>
      <c r="J20" s="4"/>
    </row>
    <row r="21">
      <c r="A21" s="2" t="s">
        <v>40</v>
      </c>
      <c r="C21" s="2" t="s">
        <v>18</v>
      </c>
      <c r="E21" s="2"/>
      <c r="F21" s="2" t="s">
        <v>254</v>
      </c>
      <c r="I21" s="4"/>
      <c r="J21" s="4"/>
    </row>
    <row r="22">
      <c r="A22" s="2" t="s">
        <v>41</v>
      </c>
      <c r="C22" s="2" t="s">
        <v>12</v>
      </c>
      <c r="F22" s="2" t="s">
        <v>254</v>
      </c>
      <c r="G22" s="6">
        <v>80.0</v>
      </c>
      <c r="H22" s="6">
        <v>698.8</v>
      </c>
      <c r="I22" s="7" t="s">
        <v>257</v>
      </c>
      <c r="J22" s="2" t="s">
        <v>258</v>
      </c>
      <c r="K22" s="2">
        <v>20.0</v>
      </c>
    </row>
    <row r="23">
      <c r="A23" s="2" t="s">
        <v>44</v>
      </c>
      <c r="C23" s="2" t="s">
        <v>18</v>
      </c>
      <c r="E23" s="6"/>
      <c r="F23" s="2" t="s">
        <v>254</v>
      </c>
      <c r="G23" s="6">
        <v>80.0</v>
      </c>
      <c r="H23" s="6">
        <v>-26.9</v>
      </c>
      <c r="I23" s="7" t="s">
        <v>257</v>
      </c>
      <c r="J23" s="2" t="s">
        <v>259</v>
      </c>
      <c r="K23" s="2">
        <v>25.0</v>
      </c>
    </row>
    <row r="24">
      <c r="A24" s="2" t="s">
        <v>45</v>
      </c>
      <c r="C24" s="2" t="s">
        <v>12</v>
      </c>
      <c r="F24" s="2" t="s">
        <v>254</v>
      </c>
      <c r="G24" s="6">
        <v>80.0</v>
      </c>
      <c r="H24" s="2">
        <v>663.7</v>
      </c>
      <c r="I24" s="7" t="s">
        <v>257</v>
      </c>
      <c r="J24" s="2" t="s">
        <v>260</v>
      </c>
      <c r="K24" s="2">
        <v>44.0</v>
      </c>
    </row>
    <row r="25">
      <c r="A25" s="2" t="s">
        <v>47</v>
      </c>
      <c r="C25" s="2" t="s">
        <v>18</v>
      </c>
      <c r="F25" s="2" t="s">
        <v>254</v>
      </c>
      <c r="G25" s="6">
        <v>80.0</v>
      </c>
      <c r="H25" s="2">
        <v>-49.3</v>
      </c>
      <c r="I25" s="7" t="s">
        <v>257</v>
      </c>
      <c r="J25" s="2" t="s">
        <v>261</v>
      </c>
      <c r="K25" s="2">
        <v>32.0</v>
      </c>
    </row>
    <row r="26">
      <c r="A26" s="2" t="s">
        <v>48</v>
      </c>
      <c r="C26" s="2" t="s">
        <v>12</v>
      </c>
      <c r="F26" s="2" t="s">
        <v>254</v>
      </c>
      <c r="I26" s="2" t="s">
        <v>255</v>
      </c>
      <c r="K26" s="2">
        <v>108.0</v>
      </c>
    </row>
    <row r="27">
      <c r="A27" s="2" t="s">
        <v>51</v>
      </c>
      <c r="C27" s="2" t="s">
        <v>18</v>
      </c>
      <c r="F27" s="2" t="s">
        <v>254</v>
      </c>
      <c r="I27" s="2" t="s">
        <v>255</v>
      </c>
      <c r="K27" s="2">
        <v>104.0</v>
      </c>
    </row>
    <row r="28">
      <c r="A28" s="2" t="s">
        <v>48</v>
      </c>
      <c r="C28" s="2" t="s">
        <v>12</v>
      </c>
      <c r="E28" s="2"/>
      <c r="F28" s="2" t="s">
        <v>254</v>
      </c>
      <c r="G28" s="6"/>
      <c r="H28" s="2"/>
      <c r="I28" s="2" t="s">
        <v>255</v>
      </c>
      <c r="J28" s="3"/>
      <c r="K28" s="2"/>
      <c r="L28" s="2"/>
    </row>
    <row r="29">
      <c r="A29" s="2" t="s">
        <v>51</v>
      </c>
      <c r="C29" s="2" t="s">
        <v>18</v>
      </c>
      <c r="E29" s="2"/>
      <c r="F29" s="2" t="s">
        <v>254</v>
      </c>
      <c r="G29" s="6"/>
      <c r="H29" s="2"/>
      <c r="I29" s="2" t="s">
        <v>255</v>
      </c>
      <c r="J29" s="3"/>
      <c r="K29" s="2"/>
      <c r="L29" s="2"/>
    </row>
    <row r="30">
      <c r="A30" s="2" t="s">
        <v>48</v>
      </c>
      <c r="C30" s="2" t="s">
        <v>12</v>
      </c>
      <c r="E30" s="2"/>
      <c r="F30" s="2" t="s">
        <v>254</v>
      </c>
      <c r="G30" s="6"/>
      <c r="H30" s="2"/>
      <c r="I30" s="2" t="s">
        <v>255</v>
      </c>
      <c r="J30" s="3"/>
      <c r="K30" s="2">
        <v>71.0</v>
      </c>
      <c r="L30" s="2"/>
    </row>
    <row r="31">
      <c r="A31" s="2" t="s">
        <v>51</v>
      </c>
      <c r="C31" s="2" t="s">
        <v>18</v>
      </c>
      <c r="E31" s="2"/>
      <c r="F31" s="2" t="s">
        <v>254</v>
      </c>
      <c r="G31" s="6"/>
      <c r="H31" s="2"/>
      <c r="I31" s="2" t="s">
        <v>255</v>
      </c>
      <c r="J31" s="3"/>
      <c r="K31" s="2">
        <v>71.0</v>
      </c>
      <c r="L31" s="2"/>
    </row>
    <row r="32">
      <c r="A32" s="2" t="s">
        <v>52</v>
      </c>
      <c r="C32" s="2" t="s">
        <v>12</v>
      </c>
      <c r="E32" s="2"/>
      <c r="F32" s="2" t="s">
        <v>254</v>
      </c>
      <c r="G32" s="6"/>
      <c r="I32" s="7" t="s">
        <v>209</v>
      </c>
      <c r="J32" s="3"/>
    </row>
    <row r="33">
      <c r="A33" s="2" t="s">
        <v>55</v>
      </c>
      <c r="C33" s="2" t="s">
        <v>18</v>
      </c>
      <c r="E33" s="2"/>
      <c r="F33" s="2" t="s">
        <v>254</v>
      </c>
      <c r="G33" s="6"/>
      <c r="I33" s="7" t="s">
        <v>209</v>
      </c>
      <c r="J33" s="3"/>
    </row>
    <row r="34">
      <c r="A34" s="2" t="s">
        <v>56</v>
      </c>
      <c r="C34" s="2" t="s">
        <v>12</v>
      </c>
      <c r="D34" s="2">
        <v>16439.21</v>
      </c>
      <c r="E34" s="2">
        <v>4896.13</v>
      </c>
      <c r="F34" s="2" t="s">
        <v>254</v>
      </c>
      <c r="G34" s="2">
        <v>53.0</v>
      </c>
      <c r="H34" s="2">
        <v>7286.49</v>
      </c>
      <c r="I34" s="7" t="s">
        <v>255</v>
      </c>
      <c r="J34" s="2" t="s">
        <v>262</v>
      </c>
      <c r="K34" s="2">
        <v>76.0</v>
      </c>
      <c r="L34" s="2" t="s">
        <v>263</v>
      </c>
    </row>
    <row r="35">
      <c r="A35" s="2" t="s">
        <v>60</v>
      </c>
      <c r="C35" s="2" t="s">
        <v>18</v>
      </c>
      <c r="D35" s="2">
        <v>17310.46</v>
      </c>
      <c r="E35" s="2">
        <v>4967.51</v>
      </c>
      <c r="F35" s="2" t="s">
        <v>254</v>
      </c>
      <c r="G35" s="2">
        <v>53.0</v>
      </c>
      <c r="H35" s="2">
        <v>576.18</v>
      </c>
      <c r="I35" s="7" t="s">
        <v>255</v>
      </c>
      <c r="J35" s="2" t="s">
        <v>264</v>
      </c>
      <c r="K35" s="2">
        <v>87.0</v>
      </c>
      <c r="L35" s="2" t="s">
        <v>263</v>
      </c>
    </row>
    <row r="36">
      <c r="A36" s="2" t="s">
        <v>61</v>
      </c>
      <c r="C36" s="2" t="s">
        <v>12</v>
      </c>
      <c r="D36" s="2">
        <v>17674.48</v>
      </c>
      <c r="E36" s="2">
        <v>5444.54</v>
      </c>
      <c r="F36" s="2" t="s">
        <v>254</v>
      </c>
      <c r="G36" s="2">
        <v>53.0</v>
      </c>
      <c r="H36" s="2">
        <v>6390.57</v>
      </c>
      <c r="I36" s="7" t="s">
        <v>255</v>
      </c>
      <c r="K36" s="2">
        <v>58.0</v>
      </c>
      <c r="L36" s="2" t="s">
        <v>263</v>
      </c>
    </row>
    <row r="37">
      <c r="A37" s="2" t="s">
        <v>63</v>
      </c>
      <c r="C37" s="2" t="s">
        <v>18</v>
      </c>
      <c r="D37" s="2">
        <v>15793.26</v>
      </c>
      <c r="E37" s="2">
        <v>5801.08</v>
      </c>
      <c r="F37" s="2" t="s">
        <v>254</v>
      </c>
      <c r="G37" s="2">
        <v>53.0</v>
      </c>
      <c r="H37" s="2">
        <v>360.0</v>
      </c>
      <c r="I37" s="7" t="s">
        <v>255</v>
      </c>
      <c r="J37" s="2" t="s">
        <v>265</v>
      </c>
      <c r="K37" s="2">
        <v>46.0</v>
      </c>
      <c r="L37" s="2" t="s">
        <v>263</v>
      </c>
    </row>
    <row r="38">
      <c r="A38" s="2" t="s">
        <v>56</v>
      </c>
      <c r="C38" s="2" t="s">
        <v>12</v>
      </c>
      <c r="D38" s="2">
        <v>16439.21</v>
      </c>
      <c r="E38" s="2">
        <v>4896.13</v>
      </c>
      <c r="F38" s="2" t="s">
        <v>254</v>
      </c>
      <c r="G38" s="2">
        <v>105.0</v>
      </c>
      <c r="H38" s="2">
        <v>6019.13</v>
      </c>
      <c r="I38" s="7" t="s">
        <v>255</v>
      </c>
      <c r="J38" s="2" t="s">
        <v>266</v>
      </c>
      <c r="K38" s="2">
        <v>17.0</v>
      </c>
    </row>
    <row r="39">
      <c r="A39" s="2" t="s">
        <v>60</v>
      </c>
      <c r="C39" s="2" t="s">
        <v>18</v>
      </c>
      <c r="D39" s="2">
        <v>17310.46</v>
      </c>
      <c r="E39" s="2">
        <v>4967.51</v>
      </c>
      <c r="F39" s="2" t="s">
        <v>254</v>
      </c>
      <c r="G39" s="2">
        <v>105.0</v>
      </c>
      <c r="H39" s="2">
        <v>-99.19</v>
      </c>
      <c r="I39" s="7" t="s">
        <v>255</v>
      </c>
      <c r="J39" s="2" t="s">
        <v>267</v>
      </c>
      <c r="K39" s="2">
        <v>22.0</v>
      </c>
    </row>
    <row r="40">
      <c r="A40" s="2" t="s">
        <v>64</v>
      </c>
      <c r="C40" s="2" t="s">
        <v>66</v>
      </c>
      <c r="F40" s="2" t="s">
        <v>254</v>
      </c>
    </row>
    <row r="41">
      <c r="A41" s="2" t="s">
        <v>68</v>
      </c>
      <c r="C41" s="2" t="s">
        <v>69</v>
      </c>
      <c r="F41" s="2" t="s">
        <v>254</v>
      </c>
    </row>
    <row r="42">
      <c r="A42" s="2" t="s">
        <v>70</v>
      </c>
      <c r="C42" s="2" t="s">
        <v>18</v>
      </c>
      <c r="F42" s="2" t="s">
        <v>254</v>
      </c>
    </row>
    <row r="43">
      <c r="A43" s="2" t="s">
        <v>71</v>
      </c>
      <c r="B43" s="2"/>
      <c r="C43" s="2" t="s">
        <v>72</v>
      </c>
      <c r="F43" s="2" t="s">
        <v>254</v>
      </c>
    </row>
    <row r="44">
      <c r="A44" s="2" t="s">
        <v>74</v>
      </c>
      <c r="B44" s="2"/>
      <c r="C44" s="2" t="s">
        <v>75</v>
      </c>
      <c r="F44" s="2" t="s">
        <v>254</v>
      </c>
      <c r="H44" s="4"/>
      <c r="I44" s="4"/>
      <c r="J44" s="4"/>
    </row>
    <row r="45">
      <c r="A45" s="2" t="s">
        <v>76</v>
      </c>
      <c r="C45" s="2" t="s">
        <v>66</v>
      </c>
      <c r="F45" s="2" t="s">
        <v>254</v>
      </c>
      <c r="H45" s="4"/>
      <c r="I45" s="4"/>
      <c r="J45" s="4"/>
    </row>
    <row r="46">
      <c r="A46" s="2" t="s">
        <v>77</v>
      </c>
      <c r="C46" s="2" t="s">
        <v>69</v>
      </c>
      <c r="F46" s="2" t="s">
        <v>254</v>
      </c>
      <c r="H46" s="4"/>
      <c r="I46" s="4"/>
      <c r="J46" s="4"/>
    </row>
    <row r="47">
      <c r="A47" s="2" t="s">
        <v>78</v>
      </c>
      <c r="C47" s="2" t="s">
        <v>18</v>
      </c>
      <c r="F47" s="2" t="s">
        <v>254</v>
      </c>
      <c r="H47" s="4"/>
      <c r="I47" s="4"/>
      <c r="J47" s="4"/>
    </row>
    <row r="48">
      <c r="A48" s="3" t="s">
        <v>79</v>
      </c>
      <c r="C48" s="2" t="s">
        <v>12</v>
      </c>
      <c r="F48" s="2" t="s">
        <v>254</v>
      </c>
      <c r="H48" s="4"/>
      <c r="I48" s="4"/>
      <c r="J48" s="4"/>
    </row>
    <row r="49">
      <c r="A49" s="3" t="s">
        <v>82</v>
      </c>
      <c r="C49" s="2" t="s">
        <v>18</v>
      </c>
      <c r="F49" s="2" t="s">
        <v>254</v>
      </c>
      <c r="H49" s="4"/>
      <c r="I49" s="4"/>
      <c r="J49" s="4"/>
    </row>
    <row r="50">
      <c r="A50" s="2" t="s">
        <v>83</v>
      </c>
      <c r="C50" s="2" t="s">
        <v>72</v>
      </c>
      <c r="F50" s="2" t="s">
        <v>254</v>
      </c>
      <c r="H50" s="4"/>
      <c r="I50" s="4"/>
      <c r="J50" s="4"/>
    </row>
    <row r="51">
      <c r="A51" s="2" t="s">
        <v>85</v>
      </c>
      <c r="C51" s="2" t="s">
        <v>75</v>
      </c>
      <c r="F51" s="2" t="s">
        <v>254</v>
      </c>
      <c r="H51" s="4"/>
      <c r="I51" s="4"/>
      <c r="J51" s="4"/>
    </row>
    <row r="52">
      <c r="A52" s="2" t="s">
        <v>86</v>
      </c>
      <c r="C52" s="2" t="s">
        <v>29</v>
      </c>
      <c r="F52" s="2" t="s">
        <v>254</v>
      </c>
      <c r="H52" s="4"/>
      <c r="I52" s="4"/>
      <c r="J52" s="4"/>
    </row>
    <row r="53">
      <c r="A53" s="2" t="s">
        <v>87</v>
      </c>
      <c r="C53" s="2" t="s">
        <v>33</v>
      </c>
      <c r="F53" s="2" t="s">
        <v>254</v>
      </c>
      <c r="H53" s="4"/>
      <c r="I53" s="4"/>
      <c r="J53" s="4"/>
    </row>
    <row r="54">
      <c r="A54" s="2" t="s">
        <v>88</v>
      </c>
      <c r="C54" s="2" t="s">
        <v>89</v>
      </c>
      <c r="F54" s="2" t="s">
        <v>254</v>
      </c>
      <c r="H54" s="4"/>
      <c r="I54" s="4"/>
      <c r="J54" s="4"/>
    </row>
    <row r="55">
      <c r="H55" s="4"/>
      <c r="I55" s="4"/>
      <c r="J55" s="4"/>
    </row>
    <row r="56">
      <c r="H56" s="4"/>
      <c r="I56" s="4"/>
      <c r="J56" s="4"/>
    </row>
    <row r="57">
      <c r="H57" s="4"/>
      <c r="I57" s="4"/>
      <c r="J57" s="4"/>
    </row>
    <row r="58">
      <c r="H58" s="4"/>
      <c r="I58" s="4"/>
      <c r="J58" s="4"/>
    </row>
    <row r="59">
      <c r="H59" s="4"/>
      <c r="I59" s="4"/>
      <c r="J59" s="4"/>
    </row>
    <row r="60">
      <c r="H60" s="4"/>
      <c r="I60" s="4"/>
      <c r="J60" s="4"/>
    </row>
    <row r="61">
      <c r="H61" s="4"/>
      <c r="I61" s="4"/>
      <c r="J61" s="4"/>
    </row>
    <row r="62">
      <c r="H62" s="4"/>
      <c r="I62" s="4"/>
      <c r="J62" s="4"/>
    </row>
    <row r="63">
      <c r="H63" s="4"/>
      <c r="I63" s="4"/>
      <c r="J63" s="4"/>
    </row>
    <row r="64">
      <c r="H64" s="4"/>
      <c r="I64" s="4"/>
      <c r="J64" s="4"/>
    </row>
    <row r="65">
      <c r="H65" s="4"/>
      <c r="I65" s="4"/>
      <c r="J65" s="4"/>
    </row>
    <row r="66">
      <c r="H66" s="4"/>
      <c r="I66" s="4"/>
      <c r="J66" s="4"/>
    </row>
    <row r="67">
      <c r="H67" s="4"/>
      <c r="I67" s="4"/>
      <c r="J67" s="4"/>
    </row>
    <row r="68">
      <c r="H68" s="4"/>
      <c r="I68" s="4"/>
      <c r="J68" s="4"/>
    </row>
    <row r="69">
      <c r="H69" s="4"/>
      <c r="I69" s="4"/>
      <c r="J69" s="4"/>
    </row>
    <row r="70">
      <c r="H70" s="4"/>
      <c r="I70" s="4"/>
      <c r="J70" s="4"/>
    </row>
    <row r="71">
      <c r="H71" s="4"/>
      <c r="I71" s="4"/>
      <c r="J71" s="4"/>
    </row>
    <row r="72">
      <c r="H72" s="4"/>
      <c r="I72" s="4"/>
      <c r="J72" s="4"/>
    </row>
    <row r="73">
      <c r="H73" s="4"/>
      <c r="I73" s="4"/>
      <c r="J73" s="4"/>
    </row>
    <row r="74">
      <c r="H74" s="4"/>
      <c r="I74" s="4"/>
      <c r="J74" s="4"/>
    </row>
    <row r="75">
      <c r="H75" s="4"/>
      <c r="I75" s="4"/>
      <c r="J75" s="4"/>
    </row>
    <row r="76">
      <c r="H76" s="4"/>
      <c r="I76" s="4"/>
      <c r="J76" s="4"/>
    </row>
    <row r="77">
      <c r="H77" s="4"/>
      <c r="I77" s="4"/>
      <c r="J77" s="4"/>
    </row>
    <row r="78">
      <c r="H78" s="4"/>
      <c r="I78" s="4"/>
      <c r="J78" s="4"/>
    </row>
    <row r="79">
      <c r="H79" s="4"/>
      <c r="I79" s="4"/>
      <c r="J79" s="4"/>
    </row>
    <row r="80">
      <c r="H80" s="4"/>
      <c r="I80" s="4"/>
      <c r="J80" s="4"/>
    </row>
    <row r="81">
      <c r="H81" s="4"/>
      <c r="I81" s="4"/>
      <c r="J81" s="4"/>
    </row>
    <row r="82">
      <c r="H82" s="4"/>
      <c r="I82" s="4"/>
      <c r="J82" s="4"/>
    </row>
    <row r="83">
      <c r="H83" s="4"/>
      <c r="I83" s="4"/>
      <c r="J83" s="4"/>
    </row>
    <row r="84">
      <c r="H84" s="4"/>
      <c r="I84" s="4"/>
      <c r="J84" s="4"/>
    </row>
    <row r="85">
      <c r="H85" s="4"/>
      <c r="I85" s="4"/>
      <c r="J85" s="4"/>
    </row>
    <row r="86">
      <c r="H86" s="4"/>
      <c r="I86" s="4"/>
      <c r="J86" s="4"/>
    </row>
    <row r="87">
      <c r="H87" s="4"/>
      <c r="I87" s="4"/>
      <c r="J87" s="4"/>
    </row>
    <row r="88">
      <c r="H88" s="4"/>
      <c r="I88" s="4"/>
      <c r="J88" s="4"/>
    </row>
    <row r="89">
      <c r="H89" s="4"/>
      <c r="I89" s="4"/>
      <c r="J89" s="4"/>
    </row>
    <row r="90">
      <c r="H90" s="4"/>
      <c r="I90" s="4"/>
      <c r="J90" s="4"/>
    </row>
    <row r="91">
      <c r="H91" s="4"/>
      <c r="I91" s="4"/>
      <c r="J91" s="4"/>
    </row>
    <row r="92">
      <c r="H92" s="4"/>
      <c r="I92" s="4"/>
      <c r="J92" s="4"/>
    </row>
    <row r="93">
      <c r="H93" s="4"/>
      <c r="I93" s="4"/>
      <c r="J93" s="4"/>
    </row>
    <row r="94">
      <c r="H94" s="4"/>
      <c r="I94" s="4"/>
      <c r="J94" s="4"/>
    </row>
    <row r="95">
      <c r="H95" s="4"/>
      <c r="I95" s="4"/>
      <c r="J95" s="4"/>
    </row>
    <row r="96">
      <c r="H96" s="4"/>
      <c r="I96" s="4"/>
      <c r="J96" s="4"/>
    </row>
    <row r="97">
      <c r="H97" s="4"/>
      <c r="I97" s="4"/>
      <c r="J97" s="4"/>
    </row>
    <row r="98">
      <c r="H98" s="4"/>
      <c r="I98" s="4"/>
      <c r="J98" s="4"/>
    </row>
    <row r="99">
      <c r="H99" s="4"/>
      <c r="I99" s="4"/>
      <c r="J99" s="4"/>
    </row>
    <row r="100">
      <c r="H100" s="4"/>
      <c r="I100" s="4"/>
      <c r="J100" s="4"/>
    </row>
    <row r="101">
      <c r="H101" s="4"/>
      <c r="I101" s="4"/>
      <c r="J101" s="4"/>
    </row>
    <row r="102">
      <c r="H102" s="4"/>
      <c r="I102" s="4"/>
      <c r="J102" s="4"/>
    </row>
    <row r="103">
      <c r="H103" s="4"/>
      <c r="I103" s="4"/>
      <c r="J103" s="4"/>
    </row>
    <row r="104">
      <c r="H104" s="4"/>
      <c r="I104" s="4"/>
      <c r="J104" s="4"/>
    </row>
    <row r="105">
      <c r="H105" s="4"/>
      <c r="I105" s="4"/>
      <c r="J105" s="4"/>
    </row>
    <row r="106">
      <c r="H106" s="4"/>
      <c r="I106" s="4"/>
      <c r="J106" s="4"/>
    </row>
    <row r="107">
      <c r="H107" s="4"/>
      <c r="I107" s="4"/>
      <c r="J107" s="4"/>
    </row>
    <row r="108">
      <c r="H108" s="4"/>
      <c r="I108" s="4"/>
      <c r="J108" s="4"/>
    </row>
    <row r="109">
      <c r="H109" s="4"/>
      <c r="I109" s="4"/>
      <c r="J109" s="4"/>
    </row>
    <row r="110">
      <c r="H110" s="4"/>
      <c r="I110" s="4"/>
      <c r="J110" s="4"/>
    </row>
    <row r="111">
      <c r="H111" s="4"/>
      <c r="I111" s="4"/>
      <c r="J111" s="4"/>
    </row>
    <row r="112">
      <c r="H112" s="4"/>
      <c r="I112" s="4"/>
      <c r="J112" s="4"/>
    </row>
    <row r="113">
      <c r="H113" s="4"/>
      <c r="I113" s="4"/>
      <c r="J113" s="4"/>
    </row>
    <row r="114">
      <c r="H114" s="4"/>
      <c r="I114" s="4"/>
      <c r="J114" s="4"/>
    </row>
    <row r="115">
      <c r="H115" s="4"/>
      <c r="I115" s="4"/>
      <c r="J115" s="4"/>
    </row>
    <row r="116">
      <c r="H116" s="4"/>
      <c r="I116" s="4"/>
      <c r="J116" s="4"/>
    </row>
    <row r="117">
      <c r="H117" s="4"/>
      <c r="I117" s="4"/>
      <c r="J117" s="4"/>
    </row>
    <row r="118">
      <c r="H118" s="4"/>
      <c r="I118" s="4"/>
      <c r="J118" s="4"/>
    </row>
    <row r="119">
      <c r="H119" s="4"/>
      <c r="I119" s="4"/>
      <c r="J119" s="4"/>
    </row>
    <row r="120">
      <c r="H120" s="4"/>
      <c r="I120" s="4"/>
      <c r="J120" s="4"/>
    </row>
    <row r="121">
      <c r="H121" s="4"/>
      <c r="I121" s="4"/>
      <c r="J121" s="4"/>
    </row>
    <row r="122">
      <c r="H122" s="4"/>
      <c r="I122" s="4"/>
      <c r="J122" s="4"/>
    </row>
    <row r="123">
      <c r="H123" s="4"/>
      <c r="I123" s="4"/>
      <c r="J123" s="4"/>
    </row>
    <row r="124">
      <c r="H124" s="4"/>
      <c r="I124" s="4"/>
      <c r="J124" s="4"/>
    </row>
    <row r="125">
      <c r="H125" s="4"/>
      <c r="I125" s="4"/>
      <c r="J125" s="4"/>
    </row>
    <row r="126">
      <c r="H126" s="4"/>
      <c r="I126" s="4"/>
      <c r="J126" s="4"/>
    </row>
    <row r="127">
      <c r="H127" s="4"/>
      <c r="I127" s="4"/>
      <c r="J127" s="4"/>
    </row>
    <row r="128">
      <c r="H128" s="4"/>
      <c r="I128" s="4"/>
      <c r="J128" s="4"/>
    </row>
    <row r="129">
      <c r="H129" s="4"/>
      <c r="I129" s="4"/>
      <c r="J129" s="4"/>
    </row>
    <row r="130">
      <c r="H130" s="4"/>
      <c r="I130" s="4"/>
      <c r="J130" s="4"/>
    </row>
    <row r="131">
      <c r="H131" s="4"/>
      <c r="I131" s="4"/>
      <c r="J131" s="4"/>
    </row>
    <row r="132">
      <c r="H132" s="4"/>
      <c r="I132" s="4"/>
      <c r="J132" s="4"/>
    </row>
    <row r="133">
      <c r="H133" s="4"/>
      <c r="I133" s="4"/>
      <c r="J133" s="4"/>
    </row>
    <row r="134">
      <c r="H134" s="4"/>
      <c r="I134" s="4"/>
      <c r="J134" s="4"/>
    </row>
    <row r="135">
      <c r="H135" s="4"/>
      <c r="I135" s="4"/>
      <c r="J135" s="4"/>
    </row>
    <row r="136">
      <c r="H136" s="4"/>
      <c r="I136" s="4"/>
      <c r="J136" s="4"/>
    </row>
    <row r="137">
      <c r="H137" s="4"/>
      <c r="I137" s="4"/>
      <c r="J137" s="4"/>
    </row>
    <row r="138">
      <c r="H138" s="4"/>
      <c r="I138" s="4"/>
      <c r="J138" s="4"/>
    </row>
    <row r="139">
      <c r="H139" s="4"/>
      <c r="I139" s="4"/>
      <c r="J139" s="4"/>
    </row>
    <row r="140">
      <c r="H140" s="4"/>
      <c r="I140" s="4"/>
      <c r="J140" s="4"/>
    </row>
    <row r="141">
      <c r="H141" s="4"/>
      <c r="I141" s="4"/>
      <c r="J141" s="4"/>
    </row>
    <row r="142">
      <c r="H142" s="4"/>
      <c r="I142" s="4"/>
      <c r="J142" s="4"/>
    </row>
    <row r="143">
      <c r="H143" s="4"/>
      <c r="I143" s="4"/>
      <c r="J143" s="4"/>
    </row>
    <row r="144">
      <c r="H144" s="4"/>
      <c r="I144" s="4"/>
      <c r="J144" s="4"/>
    </row>
    <row r="145">
      <c r="H145" s="4"/>
      <c r="I145" s="4"/>
      <c r="J145" s="4"/>
    </row>
    <row r="146">
      <c r="H146" s="4"/>
      <c r="I146" s="4"/>
      <c r="J146" s="4"/>
    </row>
    <row r="147">
      <c r="H147" s="4"/>
      <c r="I147" s="4"/>
      <c r="J147" s="4"/>
    </row>
    <row r="148">
      <c r="H148" s="4"/>
      <c r="I148" s="4"/>
      <c r="J148" s="4"/>
    </row>
    <row r="149">
      <c r="H149" s="4"/>
      <c r="I149" s="4"/>
      <c r="J149" s="4"/>
    </row>
    <row r="150">
      <c r="H150" s="4"/>
      <c r="I150" s="4"/>
      <c r="J150" s="4"/>
    </row>
    <row r="151">
      <c r="H151" s="4"/>
      <c r="I151" s="4"/>
      <c r="J151" s="4"/>
    </row>
    <row r="152">
      <c r="H152" s="4"/>
      <c r="I152" s="4"/>
      <c r="J152" s="4"/>
    </row>
    <row r="153">
      <c r="H153" s="4"/>
      <c r="I153" s="4"/>
      <c r="J153" s="4"/>
    </row>
    <row r="154">
      <c r="H154" s="4"/>
      <c r="I154" s="4"/>
      <c r="J154" s="4"/>
    </row>
    <row r="155">
      <c r="H155" s="4"/>
      <c r="I155" s="4"/>
      <c r="J155" s="4"/>
    </row>
    <row r="156">
      <c r="H156" s="4"/>
      <c r="I156" s="4"/>
      <c r="J156" s="4"/>
    </row>
    <row r="157">
      <c r="H157" s="4"/>
      <c r="I157" s="4"/>
      <c r="J157" s="4"/>
    </row>
    <row r="158">
      <c r="H158" s="4"/>
      <c r="I158" s="4"/>
      <c r="J158" s="4"/>
    </row>
    <row r="159">
      <c r="H159" s="4"/>
      <c r="I159" s="4"/>
      <c r="J159" s="4"/>
    </row>
    <row r="160">
      <c r="H160" s="4"/>
      <c r="I160" s="4"/>
      <c r="J160" s="4"/>
    </row>
    <row r="161">
      <c r="H161" s="4"/>
      <c r="I161" s="4"/>
      <c r="J161" s="4"/>
    </row>
    <row r="162">
      <c r="H162" s="4"/>
      <c r="I162" s="4"/>
      <c r="J162" s="4"/>
    </row>
    <row r="163">
      <c r="H163" s="4"/>
      <c r="I163" s="4"/>
      <c r="J163" s="4"/>
    </row>
    <row r="164">
      <c r="H164" s="4"/>
      <c r="I164" s="4"/>
      <c r="J164" s="4"/>
    </row>
    <row r="165">
      <c r="H165" s="4"/>
      <c r="I165" s="4"/>
      <c r="J165" s="4"/>
    </row>
    <row r="166">
      <c r="H166" s="4"/>
      <c r="I166" s="4"/>
      <c r="J166" s="4"/>
    </row>
    <row r="167">
      <c r="H167" s="4"/>
      <c r="I167" s="4"/>
      <c r="J167" s="4"/>
    </row>
    <row r="168">
      <c r="H168" s="4"/>
      <c r="I168" s="4"/>
      <c r="J168" s="4"/>
    </row>
    <row r="169">
      <c r="H169" s="4"/>
      <c r="I169" s="4"/>
      <c r="J169" s="4"/>
    </row>
    <row r="170">
      <c r="H170" s="4"/>
      <c r="I170" s="4"/>
      <c r="J170" s="4"/>
    </row>
    <row r="171">
      <c r="H171" s="4"/>
      <c r="I171" s="4"/>
      <c r="J171" s="4"/>
    </row>
    <row r="172">
      <c r="H172" s="4"/>
      <c r="I172" s="4"/>
      <c r="J172" s="4"/>
    </row>
    <row r="173">
      <c r="H173" s="4"/>
      <c r="I173" s="4"/>
      <c r="J173" s="4"/>
    </row>
    <row r="174">
      <c r="H174" s="4"/>
      <c r="I174" s="4"/>
      <c r="J174" s="4"/>
    </row>
    <row r="175">
      <c r="H175" s="4"/>
      <c r="I175" s="4"/>
      <c r="J175" s="4"/>
    </row>
    <row r="176">
      <c r="H176" s="4"/>
      <c r="I176" s="4"/>
      <c r="J176" s="4"/>
    </row>
    <row r="177">
      <c r="H177" s="4"/>
      <c r="I177" s="4"/>
      <c r="J177" s="4"/>
    </row>
    <row r="178">
      <c r="H178" s="4"/>
      <c r="I178" s="4"/>
      <c r="J178" s="4"/>
    </row>
    <row r="179">
      <c r="H179" s="4"/>
      <c r="I179" s="4"/>
      <c r="J179" s="4"/>
    </row>
    <row r="180">
      <c r="H180" s="4"/>
      <c r="I180" s="4"/>
      <c r="J180" s="4"/>
    </row>
    <row r="181">
      <c r="H181" s="4"/>
      <c r="I181" s="4"/>
      <c r="J181" s="4"/>
    </row>
    <row r="182">
      <c r="H182" s="4"/>
      <c r="I182" s="4"/>
      <c r="J182" s="4"/>
    </row>
    <row r="183">
      <c r="H183" s="4"/>
      <c r="I183" s="4"/>
      <c r="J183" s="4"/>
    </row>
    <row r="184">
      <c r="H184" s="4"/>
      <c r="I184" s="4"/>
      <c r="J184" s="4"/>
    </row>
    <row r="185">
      <c r="H185" s="4"/>
      <c r="I185" s="4"/>
      <c r="J185" s="4"/>
    </row>
    <row r="186">
      <c r="H186" s="4"/>
      <c r="I186" s="4"/>
      <c r="J186" s="4"/>
    </row>
    <row r="187">
      <c r="H187" s="4"/>
      <c r="I187" s="4"/>
      <c r="J187" s="4"/>
    </row>
    <row r="188">
      <c r="H188" s="4"/>
      <c r="I188" s="4"/>
      <c r="J188" s="4"/>
    </row>
    <row r="189">
      <c r="H189" s="4"/>
      <c r="I189" s="4"/>
      <c r="J189" s="4"/>
    </row>
    <row r="190">
      <c r="H190" s="4"/>
      <c r="I190" s="4"/>
      <c r="J190" s="4"/>
    </row>
    <row r="191">
      <c r="H191" s="4"/>
      <c r="I191" s="4"/>
      <c r="J191" s="4"/>
    </row>
    <row r="192">
      <c r="H192" s="4"/>
      <c r="I192" s="4"/>
      <c r="J192" s="4"/>
    </row>
    <row r="193">
      <c r="H193" s="4"/>
      <c r="I193" s="4"/>
      <c r="J193" s="4"/>
    </row>
    <row r="194">
      <c r="H194" s="4"/>
      <c r="I194" s="4"/>
      <c r="J194" s="4"/>
    </row>
    <row r="195">
      <c r="H195" s="4"/>
      <c r="I195" s="4"/>
      <c r="J195" s="4"/>
    </row>
    <row r="196">
      <c r="H196" s="4"/>
      <c r="I196" s="4"/>
      <c r="J196" s="4"/>
    </row>
    <row r="197">
      <c r="H197" s="4"/>
      <c r="I197" s="4"/>
      <c r="J197" s="4"/>
    </row>
    <row r="198">
      <c r="H198" s="4"/>
      <c r="I198" s="4"/>
      <c r="J198" s="4"/>
    </row>
    <row r="199">
      <c r="H199" s="4"/>
      <c r="I199" s="4"/>
      <c r="J199" s="4"/>
    </row>
    <row r="200">
      <c r="H200" s="4"/>
      <c r="I200" s="4"/>
      <c r="J200" s="4"/>
    </row>
    <row r="201">
      <c r="H201" s="4"/>
      <c r="I201" s="4"/>
      <c r="J201" s="4"/>
    </row>
    <row r="202">
      <c r="H202" s="4"/>
      <c r="I202" s="4"/>
      <c r="J202" s="4"/>
    </row>
    <row r="203">
      <c r="H203" s="4"/>
      <c r="I203" s="4"/>
      <c r="J203" s="4"/>
    </row>
    <row r="204">
      <c r="H204" s="4"/>
      <c r="I204" s="4"/>
      <c r="J204" s="4"/>
    </row>
    <row r="205">
      <c r="H205" s="4"/>
      <c r="I205" s="4"/>
      <c r="J205" s="4"/>
    </row>
    <row r="206">
      <c r="H206" s="4"/>
      <c r="I206" s="4"/>
      <c r="J206" s="4"/>
    </row>
    <row r="207">
      <c r="H207" s="4"/>
      <c r="I207" s="4"/>
      <c r="J207" s="4"/>
    </row>
    <row r="208">
      <c r="H208" s="4"/>
      <c r="I208" s="4"/>
      <c r="J208" s="4"/>
    </row>
    <row r="209">
      <c r="H209" s="4"/>
      <c r="I209" s="4"/>
      <c r="J209" s="4"/>
    </row>
    <row r="210">
      <c r="H210" s="4"/>
      <c r="I210" s="4"/>
      <c r="J210" s="4"/>
    </row>
    <row r="211">
      <c r="H211" s="4"/>
      <c r="I211" s="4"/>
      <c r="J211" s="4"/>
    </row>
    <row r="212">
      <c r="H212" s="4"/>
      <c r="I212" s="4"/>
      <c r="J212" s="4"/>
    </row>
    <row r="213">
      <c r="H213" s="4"/>
      <c r="I213" s="4"/>
      <c r="J213" s="4"/>
    </row>
    <row r="214">
      <c r="H214" s="4"/>
      <c r="I214" s="4"/>
      <c r="J214" s="4"/>
    </row>
    <row r="215">
      <c r="H215" s="4"/>
      <c r="I215" s="4"/>
      <c r="J215" s="4"/>
    </row>
    <row r="216">
      <c r="H216" s="4"/>
      <c r="I216" s="4"/>
      <c r="J216" s="4"/>
    </row>
    <row r="217">
      <c r="H217" s="4"/>
      <c r="I217" s="4"/>
      <c r="J217" s="4"/>
    </row>
    <row r="218">
      <c r="H218" s="4"/>
      <c r="I218" s="4"/>
      <c r="J218" s="4"/>
    </row>
    <row r="219">
      <c r="H219" s="4"/>
      <c r="I219" s="4"/>
      <c r="J219" s="4"/>
    </row>
    <row r="220">
      <c r="H220" s="4"/>
      <c r="I220" s="4"/>
      <c r="J220" s="4"/>
    </row>
    <row r="221">
      <c r="H221" s="4"/>
      <c r="I221" s="4"/>
      <c r="J221" s="4"/>
    </row>
    <row r="222">
      <c r="H222" s="4"/>
      <c r="I222" s="4"/>
      <c r="J222" s="4"/>
    </row>
    <row r="223">
      <c r="H223" s="4"/>
      <c r="I223" s="4"/>
      <c r="J223" s="4"/>
    </row>
    <row r="224">
      <c r="H224" s="4"/>
      <c r="I224" s="4"/>
      <c r="J224" s="4"/>
    </row>
    <row r="225">
      <c r="H225" s="4"/>
      <c r="I225" s="4"/>
      <c r="J225" s="4"/>
    </row>
    <row r="226">
      <c r="H226" s="4"/>
      <c r="I226" s="4"/>
      <c r="J226" s="4"/>
    </row>
    <row r="227">
      <c r="H227" s="4"/>
      <c r="I227" s="4"/>
      <c r="J227" s="4"/>
    </row>
    <row r="228">
      <c r="H228" s="4"/>
      <c r="I228" s="4"/>
      <c r="J228" s="4"/>
    </row>
    <row r="229">
      <c r="H229" s="4"/>
      <c r="I229" s="4"/>
      <c r="J229" s="4"/>
    </row>
    <row r="230">
      <c r="H230" s="4"/>
      <c r="I230" s="4"/>
      <c r="J230" s="4"/>
    </row>
    <row r="231">
      <c r="H231" s="4"/>
      <c r="I231" s="4"/>
      <c r="J231" s="4"/>
    </row>
    <row r="232">
      <c r="H232" s="4"/>
      <c r="I232" s="4"/>
      <c r="J232" s="4"/>
    </row>
    <row r="233">
      <c r="H233" s="4"/>
      <c r="I233" s="4"/>
      <c r="J233" s="4"/>
    </row>
    <row r="234">
      <c r="H234" s="4"/>
      <c r="I234" s="4"/>
      <c r="J234" s="4"/>
    </row>
    <row r="235">
      <c r="H235" s="4"/>
      <c r="I235" s="4"/>
      <c r="J235" s="4"/>
    </row>
    <row r="236">
      <c r="H236" s="4"/>
      <c r="I236" s="4"/>
      <c r="J236" s="4"/>
    </row>
    <row r="237">
      <c r="H237" s="4"/>
      <c r="I237" s="4"/>
      <c r="J237" s="4"/>
    </row>
    <row r="238">
      <c r="H238" s="4"/>
      <c r="I238" s="4"/>
      <c r="J238" s="4"/>
    </row>
    <row r="239">
      <c r="H239" s="4"/>
      <c r="I239" s="4"/>
      <c r="J239" s="4"/>
    </row>
    <row r="240">
      <c r="H240" s="4"/>
      <c r="I240" s="4"/>
      <c r="J240" s="4"/>
    </row>
    <row r="241">
      <c r="H241" s="4"/>
      <c r="I241" s="4"/>
      <c r="J241" s="4"/>
    </row>
    <row r="242">
      <c r="H242" s="4"/>
      <c r="I242" s="4"/>
      <c r="J242" s="4"/>
    </row>
    <row r="243">
      <c r="H243" s="4"/>
      <c r="I243" s="4"/>
      <c r="J243" s="4"/>
    </row>
    <row r="244">
      <c r="H244" s="4"/>
      <c r="I244" s="4"/>
      <c r="J244" s="4"/>
    </row>
    <row r="245">
      <c r="H245" s="4"/>
      <c r="I245" s="4"/>
      <c r="J245" s="4"/>
    </row>
    <row r="246">
      <c r="H246" s="4"/>
      <c r="I246" s="4"/>
      <c r="J246" s="4"/>
    </row>
    <row r="247">
      <c r="H247" s="4"/>
      <c r="I247" s="4"/>
      <c r="J247" s="4"/>
    </row>
    <row r="248">
      <c r="H248" s="4"/>
      <c r="I248" s="4"/>
      <c r="J248" s="4"/>
    </row>
    <row r="249">
      <c r="H249" s="4"/>
      <c r="I249" s="4"/>
      <c r="J249" s="4"/>
    </row>
    <row r="250">
      <c r="H250" s="4"/>
      <c r="I250" s="4"/>
      <c r="J250" s="4"/>
    </row>
    <row r="251">
      <c r="H251" s="4"/>
      <c r="I251" s="4"/>
      <c r="J251" s="4"/>
    </row>
    <row r="252">
      <c r="H252" s="4"/>
      <c r="I252" s="4"/>
      <c r="J252" s="4"/>
    </row>
    <row r="253">
      <c r="H253" s="4"/>
      <c r="I253" s="4"/>
      <c r="J253" s="4"/>
    </row>
    <row r="254">
      <c r="H254" s="4"/>
      <c r="I254" s="4"/>
      <c r="J254" s="4"/>
    </row>
    <row r="255">
      <c r="H255" s="4"/>
      <c r="I255" s="4"/>
      <c r="J255" s="4"/>
    </row>
    <row r="256">
      <c r="H256" s="4"/>
      <c r="I256" s="4"/>
      <c r="J256" s="4"/>
    </row>
    <row r="257">
      <c r="H257" s="4"/>
      <c r="I257" s="4"/>
      <c r="J257" s="4"/>
    </row>
    <row r="258">
      <c r="H258" s="4"/>
      <c r="I258" s="4"/>
      <c r="J258" s="4"/>
    </row>
    <row r="259">
      <c r="H259" s="4"/>
      <c r="I259" s="4"/>
      <c r="J259" s="4"/>
    </row>
    <row r="260">
      <c r="H260" s="4"/>
      <c r="I260" s="4"/>
      <c r="J260" s="4"/>
    </row>
    <row r="261">
      <c r="H261" s="4"/>
      <c r="I261" s="4"/>
      <c r="J261" s="4"/>
    </row>
    <row r="262">
      <c r="H262" s="4"/>
      <c r="I262" s="4"/>
      <c r="J262" s="4"/>
    </row>
    <row r="263">
      <c r="H263" s="4"/>
      <c r="I263" s="4"/>
      <c r="J263" s="4"/>
    </row>
    <row r="264">
      <c r="H264" s="4"/>
      <c r="I264" s="4"/>
      <c r="J264" s="4"/>
    </row>
    <row r="265">
      <c r="H265" s="4"/>
      <c r="I265" s="4"/>
      <c r="J265" s="4"/>
    </row>
    <row r="266">
      <c r="H266" s="4"/>
      <c r="I266" s="4"/>
      <c r="J266" s="4"/>
    </row>
    <row r="267">
      <c r="H267" s="4"/>
      <c r="I267" s="4"/>
      <c r="J267" s="4"/>
    </row>
    <row r="268">
      <c r="H268" s="4"/>
      <c r="I268" s="4"/>
      <c r="J268" s="4"/>
    </row>
    <row r="269">
      <c r="H269" s="4"/>
      <c r="I269" s="4"/>
      <c r="J269" s="4"/>
    </row>
    <row r="270">
      <c r="H270" s="4"/>
      <c r="I270" s="4"/>
      <c r="J270" s="4"/>
    </row>
    <row r="271">
      <c r="H271" s="4"/>
      <c r="I271" s="4"/>
      <c r="J271" s="4"/>
    </row>
    <row r="272">
      <c r="H272" s="4"/>
      <c r="I272" s="4"/>
      <c r="J272" s="4"/>
    </row>
    <row r="273">
      <c r="H273" s="4"/>
      <c r="I273" s="4"/>
      <c r="J273" s="4"/>
    </row>
    <row r="274">
      <c r="H274" s="4"/>
      <c r="I274" s="4"/>
      <c r="J274" s="4"/>
    </row>
    <row r="275">
      <c r="H275" s="4"/>
      <c r="I275" s="4"/>
      <c r="J275" s="4"/>
    </row>
    <row r="276">
      <c r="H276" s="4"/>
      <c r="I276" s="4"/>
      <c r="J276" s="4"/>
    </row>
    <row r="277">
      <c r="H277" s="4"/>
      <c r="I277" s="4"/>
      <c r="J277" s="4"/>
    </row>
    <row r="278">
      <c r="H278" s="4"/>
      <c r="I278" s="4"/>
      <c r="J278" s="4"/>
    </row>
    <row r="279">
      <c r="H279" s="4"/>
      <c r="I279" s="4"/>
      <c r="J279" s="4"/>
    </row>
    <row r="280">
      <c r="H280" s="4"/>
      <c r="I280" s="4"/>
      <c r="J280" s="4"/>
    </row>
    <row r="281">
      <c r="H281" s="4"/>
      <c r="I281" s="4"/>
      <c r="J281" s="4"/>
    </row>
    <row r="282">
      <c r="H282" s="4"/>
      <c r="I282" s="4"/>
      <c r="J282" s="4"/>
    </row>
    <row r="283">
      <c r="H283" s="4"/>
      <c r="I283" s="4"/>
      <c r="J283" s="4"/>
    </row>
    <row r="284">
      <c r="H284" s="4"/>
      <c r="I284" s="4"/>
      <c r="J284" s="4"/>
    </row>
    <row r="285">
      <c r="H285" s="4"/>
      <c r="I285" s="4"/>
      <c r="J285" s="4"/>
    </row>
    <row r="286">
      <c r="H286" s="4"/>
      <c r="I286" s="4"/>
      <c r="J286" s="4"/>
    </row>
    <row r="287">
      <c r="H287" s="4"/>
      <c r="I287" s="4"/>
      <c r="J287" s="4"/>
    </row>
    <row r="288">
      <c r="H288" s="4"/>
      <c r="I288" s="4"/>
      <c r="J288" s="4"/>
    </row>
    <row r="289">
      <c r="H289" s="4"/>
      <c r="I289" s="4"/>
      <c r="J289" s="4"/>
    </row>
    <row r="290">
      <c r="H290" s="4"/>
      <c r="I290" s="4"/>
      <c r="J290" s="4"/>
    </row>
    <row r="291">
      <c r="H291" s="4"/>
      <c r="I291" s="4"/>
      <c r="J291" s="4"/>
    </row>
    <row r="292">
      <c r="H292" s="4"/>
      <c r="I292" s="4"/>
      <c r="J292" s="4"/>
    </row>
    <row r="293">
      <c r="H293" s="4"/>
      <c r="I293" s="4"/>
      <c r="J293" s="4"/>
    </row>
    <row r="294">
      <c r="H294" s="4"/>
      <c r="I294" s="4"/>
      <c r="J294" s="4"/>
    </row>
    <row r="295">
      <c r="H295" s="4"/>
      <c r="I295" s="4"/>
      <c r="J295" s="4"/>
    </row>
    <row r="296">
      <c r="H296" s="4"/>
      <c r="I296" s="4"/>
      <c r="J296" s="4"/>
    </row>
    <row r="297">
      <c r="H297" s="4"/>
      <c r="I297" s="4"/>
      <c r="J297" s="4"/>
    </row>
    <row r="298">
      <c r="H298" s="4"/>
      <c r="I298" s="4"/>
      <c r="J298" s="4"/>
    </row>
    <row r="299">
      <c r="H299" s="4"/>
      <c r="I299" s="4"/>
      <c r="J299" s="4"/>
    </row>
    <row r="300">
      <c r="H300" s="4"/>
      <c r="I300" s="4"/>
      <c r="J300" s="4"/>
    </row>
    <row r="301">
      <c r="H301" s="4"/>
      <c r="I301" s="4"/>
      <c r="J301" s="4"/>
    </row>
    <row r="302">
      <c r="H302" s="4"/>
      <c r="I302" s="4"/>
      <c r="J302" s="4"/>
    </row>
    <row r="303">
      <c r="H303" s="4"/>
      <c r="I303" s="4"/>
      <c r="J303" s="4"/>
    </row>
    <row r="304">
      <c r="H304" s="4"/>
      <c r="I304" s="4"/>
      <c r="J304" s="4"/>
    </row>
    <row r="305">
      <c r="H305" s="4"/>
      <c r="I305" s="4"/>
      <c r="J305" s="4"/>
    </row>
    <row r="306">
      <c r="H306" s="4"/>
      <c r="I306" s="4"/>
      <c r="J306" s="4"/>
    </row>
    <row r="307">
      <c r="H307" s="4"/>
      <c r="I307" s="4"/>
      <c r="J307" s="4"/>
    </row>
    <row r="308">
      <c r="H308" s="4"/>
      <c r="I308" s="4"/>
      <c r="J308" s="4"/>
    </row>
    <row r="309">
      <c r="H309" s="4"/>
      <c r="I309" s="4"/>
      <c r="J309" s="4"/>
    </row>
    <row r="310">
      <c r="H310" s="4"/>
      <c r="I310" s="4"/>
      <c r="J310" s="4"/>
    </row>
    <row r="311">
      <c r="H311" s="4"/>
      <c r="I311" s="4"/>
      <c r="J311" s="4"/>
    </row>
    <row r="312">
      <c r="H312" s="4"/>
      <c r="I312" s="4"/>
      <c r="J312" s="4"/>
    </row>
    <row r="313">
      <c r="H313" s="4"/>
      <c r="I313" s="4"/>
      <c r="J313" s="4"/>
    </row>
    <row r="314">
      <c r="H314" s="4"/>
      <c r="I314" s="4"/>
      <c r="J314" s="4"/>
    </row>
    <row r="315">
      <c r="H315" s="4"/>
      <c r="I315" s="4"/>
      <c r="J315" s="4"/>
    </row>
    <row r="316">
      <c r="H316" s="4"/>
      <c r="I316" s="4"/>
      <c r="J316" s="4"/>
    </row>
    <row r="317">
      <c r="H317" s="4"/>
      <c r="I317" s="4"/>
      <c r="J317" s="4"/>
    </row>
    <row r="318">
      <c r="H318" s="4"/>
      <c r="I318" s="4"/>
      <c r="J318" s="4"/>
    </row>
    <row r="319">
      <c r="H319" s="4"/>
      <c r="I319" s="4"/>
      <c r="J319" s="4"/>
    </row>
    <row r="320">
      <c r="H320" s="4"/>
      <c r="I320" s="4"/>
      <c r="J320" s="4"/>
    </row>
    <row r="321">
      <c r="H321" s="4"/>
      <c r="I321" s="4"/>
      <c r="J321" s="4"/>
    </row>
    <row r="322">
      <c r="H322" s="4"/>
      <c r="I322" s="4"/>
      <c r="J322" s="4"/>
    </row>
    <row r="323">
      <c r="H323" s="4"/>
      <c r="I323" s="4"/>
      <c r="J323" s="4"/>
    </row>
    <row r="324">
      <c r="H324" s="4"/>
      <c r="I324" s="4"/>
      <c r="J324" s="4"/>
    </row>
    <row r="325">
      <c r="H325" s="4"/>
      <c r="I325" s="4"/>
      <c r="J325" s="4"/>
    </row>
    <row r="326">
      <c r="H326" s="4"/>
      <c r="I326" s="4"/>
      <c r="J326" s="4"/>
    </row>
    <row r="327">
      <c r="H327" s="4"/>
      <c r="I327" s="4"/>
      <c r="J327" s="4"/>
    </row>
    <row r="328">
      <c r="H328" s="4"/>
      <c r="I328" s="4"/>
      <c r="J328" s="4"/>
    </row>
    <row r="329">
      <c r="H329" s="4"/>
      <c r="I329" s="4"/>
      <c r="J329" s="4"/>
    </row>
    <row r="330">
      <c r="H330" s="4"/>
      <c r="I330" s="4"/>
      <c r="J330" s="4"/>
    </row>
    <row r="331">
      <c r="H331" s="4"/>
      <c r="I331" s="4"/>
      <c r="J331" s="4"/>
    </row>
    <row r="332">
      <c r="H332" s="4"/>
      <c r="I332" s="4"/>
      <c r="J332" s="4"/>
    </row>
    <row r="333">
      <c r="H333" s="4"/>
      <c r="I333" s="4"/>
      <c r="J333" s="4"/>
    </row>
    <row r="334">
      <c r="H334" s="4"/>
      <c r="I334" s="4"/>
      <c r="J334" s="4"/>
    </row>
    <row r="335">
      <c r="H335" s="4"/>
      <c r="I335" s="4"/>
      <c r="J335" s="4"/>
    </row>
    <row r="336">
      <c r="H336" s="4"/>
      <c r="I336" s="4"/>
      <c r="J336" s="4"/>
    </row>
    <row r="337">
      <c r="H337" s="4"/>
      <c r="I337" s="4"/>
      <c r="J337" s="4"/>
    </row>
    <row r="338">
      <c r="H338" s="4"/>
      <c r="I338" s="4"/>
      <c r="J338" s="4"/>
    </row>
    <row r="339">
      <c r="H339" s="4"/>
      <c r="I339" s="4"/>
      <c r="J339" s="4"/>
    </row>
    <row r="340">
      <c r="H340" s="4"/>
      <c r="I340" s="4"/>
      <c r="J340" s="4"/>
    </row>
    <row r="341">
      <c r="H341" s="4"/>
      <c r="I341" s="4"/>
      <c r="J341" s="4"/>
    </row>
    <row r="342">
      <c r="H342" s="4"/>
      <c r="I342" s="4"/>
      <c r="J342" s="4"/>
    </row>
    <row r="343">
      <c r="H343" s="4"/>
      <c r="I343" s="4"/>
      <c r="J343" s="4"/>
    </row>
    <row r="344">
      <c r="H344" s="4"/>
      <c r="I344" s="4"/>
      <c r="J344" s="4"/>
    </row>
    <row r="345">
      <c r="H345" s="4"/>
      <c r="I345" s="4"/>
      <c r="J345" s="4"/>
    </row>
    <row r="346">
      <c r="H346" s="4"/>
      <c r="I346" s="4"/>
      <c r="J346" s="4"/>
    </row>
    <row r="347">
      <c r="H347" s="4"/>
      <c r="I347" s="4"/>
      <c r="J347" s="4"/>
    </row>
    <row r="348">
      <c r="H348" s="4"/>
      <c r="I348" s="4"/>
      <c r="J348" s="4"/>
    </row>
    <row r="349">
      <c r="H349" s="4"/>
      <c r="I349" s="4"/>
      <c r="J349" s="4"/>
    </row>
    <row r="350">
      <c r="H350" s="4"/>
      <c r="I350" s="4"/>
      <c r="J350" s="4"/>
    </row>
    <row r="351">
      <c r="H351" s="4"/>
      <c r="I351" s="4"/>
      <c r="J351" s="4"/>
    </row>
    <row r="352">
      <c r="H352" s="4"/>
      <c r="I352" s="4"/>
      <c r="J352" s="4"/>
    </row>
    <row r="353">
      <c r="H353" s="4"/>
      <c r="I353" s="4"/>
      <c r="J353" s="4"/>
    </row>
    <row r="354">
      <c r="H354" s="4"/>
      <c r="I354" s="4"/>
      <c r="J354" s="4"/>
    </row>
    <row r="355">
      <c r="H355" s="4"/>
      <c r="I355" s="4"/>
      <c r="J355" s="4"/>
    </row>
    <row r="356">
      <c r="H356" s="4"/>
      <c r="I356" s="4"/>
      <c r="J356" s="4"/>
    </row>
    <row r="357">
      <c r="H357" s="4"/>
      <c r="I357" s="4"/>
      <c r="J357" s="4"/>
    </row>
    <row r="358">
      <c r="H358" s="4"/>
      <c r="I358" s="4"/>
      <c r="J358" s="4"/>
    </row>
    <row r="359">
      <c r="H359" s="4"/>
      <c r="I359" s="4"/>
      <c r="J359" s="4"/>
    </row>
    <row r="360">
      <c r="H360" s="4"/>
      <c r="I360" s="4"/>
      <c r="J360" s="4"/>
    </row>
    <row r="361">
      <c r="H361" s="4"/>
      <c r="I361" s="4"/>
      <c r="J361" s="4"/>
    </row>
    <row r="362">
      <c r="H362" s="4"/>
      <c r="I362" s="4"/>
      <c r="J362" s="4"/>
    </row>
    <row r="363">
      <c r="H363" s="4"/>
      <c r="I363" s="4"/>
      <c r="J363" s="4"/>
    </row>
    <row r="364">
      <c r="H364" s="4"/>
      <c r="I364" s="4"/>
      <c r="J364" s="4"/>
    </row>
    <row r="365">
      <c r="H365" s="4"/>
      <c r="I365" s="4"/>
      <c r="J365" s="4"/>
    </row>
    <row r="366">
      <c r="H366" s="4"/>
      <c r="I366" s="4"/>
      <c r="J366" s="4"/>
    </row>
    <row r="367">
      <c r="H367" s="4"/>
      <c r="I367" s="4"/>
      <c r="J367" s="4"/>
    </row>
    <row r="368">
      <c r="H368" s="4"/>
      <c r="I368" s="4"/>
      <c r="J368" s="4"/>
    </row>
    <row r="369">
      <c r="H369" s="4"/>
      <c r="I369" s="4"/>
      <c r="J369" s="4"/>
    </row>
    <row r="370">
      <c r="H370" s="4"/>
      <c r="I370" s="4"/>
      <c r="J370" s="4"/>
    </row>
    <row r="371">
      <c r="H371" s="4"/>
      <c r="I371" s="4"/>
      <c r="J371" s="4"/>
    </row>
    <row r="372">
      <c r="H372" s="4"/>
      <c r="I372" s="4"/>
      <c r="J372" s="4"/>
    </row>
    <row r="373">
      <c r="H373" s="4"/>
      <c r="I373" s="4"/>
      <c r="J373" s="4"/>
    </row>
    <row r="374">
      <c r="H374" s="4"/>
      <c r="I374" s="4"/>
      <c r="J374" s="4"/>
    </row>
    <row r="375">
      <c r="H375" s="4"/>
      <c r="I375" s="4"/>
      <c r="J375" s="4"/>
    </row>
    <row r="376">
      <c r="H376" s="4"/>
      <c r="I376" s="4"/>
      <c r="J376" s="4"/>
    </row>
    <row r="377">
      <c r="H377" s="4"/>
      <c r="I377" s="4"/>
      <c r="J377" s="4"/>
    </row>
    <row r="378">
      <c r="H378" s="4"/>
      <c r="I378" s="4"/>
      <c r="J378" s="4"/>
    </row>
    <row r="379">
      <c r="H379" s="4"/>
      <c r="I379" s="4"/>
      <c r="J379" s="4"/>
    </row>
    <row r="380">
      <c r="H380" s="4"/>
      <c r="I380" s="4"/>
      <c r="J380" s="4"/>
    </row>
    <row r="381">
      <c r="H381" s="4"/>
      <c r="I381" s="4"/>
      <c r="J381" s="4"/>
    </row>
    <row r="382">
      <c r="H382" s="4"/>
      <c r="I382" s="4"/>
      <c r="J382" s="4"/>
    </row>
    <row r="383">
      <c r="H383" s="4"/>
      <c r="I383" s="4"/>
      <c r="J383" s="4"/>
    </row>
    <row r="384">
      <c r="H384" s="4"/>
      <c r="I384" s="4"/>
      <c r="J384" s="4"/>
    </row>
    <row r="385">
      <c r="H385" s="4"/>
      <c r="I385" s="4"/>
      <c r="J385" s="4"/>
    </row>
    <row r="386">
      <c r="H386" s="4"/>
      <c r="I386" s="4"/>
      <c r="J386" s="4"/>
    </row>
    <row r="387">
      <c r="H387" s="4"/>
      <c r="I387" s="4"/>
      <c r="J387" s="4"/>
    </row>
    <row r="388">
      <c r="H388" s="4"/>
      <c r="I388" s="4"/>
      <c r="J388" s="4"/>
    </row>
    <row r="389">
      <c r="H389" s="4"/>
      <c r="I389" s="4"/>
      <c r="J389" s="4"/>
    </row>
    <row r="390">
      <c r="H390" s="4"/>
      <c r="I390" s="4"/>
      <c r="J390" s="4"/>
    </row>
    <row r="391">
      <c r="H391" s="4"/>
      <c r="I391" s="4"/>
      <c r="J391" s="4"/>
    </row>
    <row r="392">
      <c r="H392" s="4"/>
      <c r="I392" s="4"/>
      <c r="J392" s="4"/>
    </row>
    <row r="393">
      <c r="H393" s="4"/>
      <c r="I393" s="4"/>
      <c r="J393" s="4"/>
    </row>
    <row r="394">
      <c r="H394" s="4"/>
      <c r="I394" s="4"/>
      <c r="J394" s="4"/>
    </row>
    <row r="395">
      <c r="H395" s="4"/>
      <c r="I395" s="4"/>
      <c r="J395" s="4"/>
    </row>
    <row r="396">
      <c r="H396" s="4"/>
      <c r="I396" s="4"/>
      <c r="J396" s="4"/>
    </row>
    <row r="397">
      <c r="H397" s="4"/>
      <c r="I397" s="4"/>
      <c r="J397" s="4"/>
    </row>
    <row r="398">
      <c r="H398" s="4"/>
      <c r="I398" s="4"/>
      <c r="J398" s="4"/>
    </row>
    <row r="399">
      <c r="H399" s="4"/>
      <c r="I399" s="4"/>
      <c r="J399" s="4"/>
    </row>
    <row r="400">
      <c r="H400" s="4"/>
      <c r="I400" s="4"/>
      <c r="J400" s="4"/>
    </row>
    <row r="401">
      <c r="H401" s="4"/>
      <c r="I401" s="4"/>
      <c r="J401" s="4"/>
    </row>
    <row r="402">
      <c r="H402" s="4"/>
      <c r="I402" s="4"/>
      <c r="J402" s="4"/>
    </row>
    <row r="403">
      <c r="H403" s="4"/>
      <c r="I403" s="4"/>
      <c r="J403" s="4"/>
    </row>
    <row r="404">
      <c r="H404" s="4"/>
      <c r="I404" s="4"/>
      <c r="J404" s="4"/>
    </row>
    <row r="405">
      <c r="H405" s="4"/>
      <c r="I405" s="4"/>
      <c r="J405" s="4"/>
    </row>
    <row r="406">
      <c r="H406" s="4"/>
      <c r="I406" s="4"/>
      <c r="J406" s="4"/>
    </row>
    <row r="407">
      <c r="H407" s="4"/>
      <c r="I407" s="4"/>
      <c r="J407" s="4"/>
    </row>
    <row r="408">
      <c r="H408" s="4"/>
      <c r="I408" s="4"/>
      <c r="J408" s="4"/>
    </row>
    <row r="409">
      <c r="H409" s="4"/>
      <c r="I409" s="4"/>
      <c r="J409" s="4"/>
    </row>
    <row r="410">
      <c r="H410" s="4"/>
      <c r="I410" s="4"/>
      <c r="J410" s="4"/>
    </row>
    <row r="411">
      <c r="H411" s="4"/>
      <c r="I411" s="4"/>
      <c r="J411" s="4"/>
    </row>
    <row r="412">
      <c r="H412" s="4"/>
      <c r="I412" s="4"/>
      <c r="J412" s="4"/>
    </row>
    <row r="413">
      <c r="H413" s="4"/>
      <c r="I413" s="4"/>
      <c r="J413" s="4"/>
    </row>
    <row r="414">
      <c r="H414" s="4"/>
      <c r="I414" s="4"/>
      <c r="J414" s="4"/>
    </row>
    <row r="415">
      <c r="H415" s="4"/>
      <c r="I415" s="4"/>
      <c r="J415" s="4"/>
    </row>
    <row r="416">
      <c r="H416" s="4"/>
      <c r="I416" s="4"/>
      <c r="J416" s="4"/>
    </row>
    <row r="417">
      <c r="H417" s="4"/>
      <c r="I417" s="4"/>
      <c r="J417" s="4"/>
    </row>
    <row r="418">
      <c r="H418" s="4"/>
      <c r="I418" s="4"/>
      <c r="J418" s="4"/>
    </row>
    <row r="419">
      <c r="H419" s="4"/>
      <c r="I419" s="4"/>
      <c r="J419" s="4"/>
    </row>
    <row r="420">
      <c r="H420" s="4"/>
      <c r="I420" s="4"/>
      <c r="J420" s="4"/>
    </row>
    <row r="421">
      <c r="H421" s="4"/>
      <c r="I421" s="4"/>
      <c r="J421" s="4"/>
    </row>
    <row r="422">
      <c r="H422" s="4"/>
      <c r="I422" s="4"/>
      <c r="J422" s="4"/>
    </row>
    <row r="423">
      <c r="H423" s="4"/>
      <c r="I423" s="4"/>
      <c r="J423" s="4"/>
    </row>
    <row r="424">
      <c r="H424" s="4"/>
      <c r="I424" s="4"/>
      <c r="J424" s="4"/>
    </row>
    <row r="425">
      <c r="H425" s="4"/>
      <c r="I425" s="4"/>
      <c r="J425" s="4"/>
    </row>
    <row r="426">
      <c r="H426" s="4"/>
      <c r="I426" s="4"/>
      <c r="J426" s="4"/>
    </row>
    <row r="427">
      <c r="H427" s="4"/>
      <c r="I427" s="4"/>
      <c r="J427" s="4"/>
    </row>
    <row r="428">
      <c r="H428" s="4"/>
      <c r="I428" s="4"/>
      <c r="J428" s="4"/>
    </row>
    <row r="429">
      <c r="H429" s="4"/>
      <c r="I429" s="4"/>
      <c r="J429" s="4"/>
    </row>
    <row r="430">
      <c r="H430" s="4"/>
      <c r="I430" s="4"/>
      <c r="J430" s="4"/>
    </row>
    <row r="431">
      <c r="H431" s="4"/>
      <c r="I431" s="4"/>
      <c r="J431" s="4"/>
    </row>
    <row r="432">
      <c r="H432" s="4"/>
      <c r="I432" s="4"/>
      <c r="J432" s="4"/>
    </row>
    <row r="433">
      <c r="H433" s="4"/>
      <c r="I433" s="4"/>
      <c r="J433" s="4"/>
    </row>
    <row r="434">
      <c r="H434" s="4"/>
      <c r="I434" s="4"/>
      <c r="J434" s="4"/>
    </row>
    <row r="435">
      <c r="H435" s="4"/>
      <c r="I435" s="4"/>
      <c r="J435" s="4"/>
    </row>
    <row r="436">
      <c r="H436" s="4"/>
      <c r="I436" s="4"/>
      <c r="J436" s="4"/>
    </row>
    <row r="437">
      <c r="H437" s="4"/>
      <c r="I437" s="4"/>
      <c r="J437" s="4"/>
    </row>
    <row r="438">
      <c r="H438" s="4"/>
      <c r="I438" s="4"/>
      <c r="J438" s="4"/>
    </row>
    <row r="439">
      <c r="H439" s="4"/>
      <c r="I439" s="4"/>
      <c r="J439" s="4"/>
    </row>
    <row r="440">
      <c r="H440" s="4"/>
      <c r="I440" s="4"/>
      <c r="J440" s="4"/>
    </row>
    <row r="441">
      <c r="H441" s="4"/>
      <c r="I441" s="4"/>
      <c r="J441" s="4"/>
    </row>
    <row r="442">
      <c r="H442" s="4"/>
      <c r="I442" s="4"/>
      <c r="J442" s="4"/>
    </row>
    <row r="443">
      <c r="H443" s="4"/>
      <c r="I443" s="4"/>
      <c r="J443" s="4"/>
    </row>
    <row r="444">
      <c r="H444" s="4"/>
      <c r="I444" s="4"/>
      <c r="J444" s="4"/>
    </row>
    <row r="445">
      <c r="H445" s="4"/>
      <c r="I445" s="4"/>
      <c r="J445" s="4"/>
    </row>
    <row r="446">
      <c r="H446" s="4"/>
      <c r="I446" s="4"/>
      <c r="J446" s="4"/>
    </row>
    <row r="447">
      <c r="H447" s="4"/>
      <c r="I447" s="4"/>
      <c r="J447" s="4"/>
    </row>
    <row r="448">
      <c r="H448" s="4"/>
      <c r="I448" s="4"/>
      <c r="J448" s="4"/>
    </row>
    <row r="449">
      <c r="H449" s="4"/>
      <c r="I449" s="4"/>
      <c r="J449" s="4"/>
    </row>
    <row r="450">
      <c r="H450" s="4"/>
      <c r="I450" s="4"/>
      <c r="J450" s="4"/>
    </row>
    <row r="451">
      <c r="H451" s="4"/>
      <c r="I451" s="4"/>
      <c r="J451" s="4"/>
    </row>
    <row r="452">
      <c r="H452" s="4"/>
      <c r="I452" s="4"/>
      <c r="J452" s="4"/>
    </row>
    <row r="453">
      <c r="H453" s="4"/>
      <c r="I453" s="4"/>
      <c r="J453" s="4"/>
    </row>
    <row r="454">
      <c r="H454" s="4"/>
      <c r="I454" s="4"/>
      <c r="J454" s="4"/>
    </row>
    <row r="455">
      <c r="H455" s="4"/>
      <c r="I455" s="4"/>
      <c r="J455" s="4"/>
    </row>
    <row r="456">
      <c r="H456" s="4"/>
      <c r="I456" s="4"/>
      <c r="J456" s="4"/>
    </row>
    <row r="457">
      <c r="H457" s="4"/>
      <c r="I457" s="4"/>
      <c r="J457" s="4"/>
    </row>
    <row r="458">
      <c r="H458" s="4"/>
      <c r="I458" s="4"/>
      <c r="J458" s="4"/>
    </row>
    <row r="459">
      <c r="H459" s="4"/>
      <c r="I459" s="4"/>
      <c r="J459" s="4"/>
    </row>
    <row r="460">
      <c r="H460" s="4"/>
      <c r="I460" s="4"/>
      <c r="J460" s="4"/>
    </row>
    <row r="461">
      <c r="H461" s="4"/>
      <c r="I461" s="4"/>
      <c r="J461" s="4"/>
    </row>
    <row r="462">
      <c r="H462" s="4"/>
      <c r="I462" s="4"/>
      <c r="J462" s="4"/>
    </row>
    <row r="463">
      <c r="H463" s="4"/>
      <c r="I463" s="4"/>
      <c r="J463" s="4"/>
    </row>
    <row r="464">
      <c r="H464" s="4"/>
      <c r="I464" s="4"/>
      <c r="J464" s="4"/>
    </row>
    <row r="465">
      <c r="H465" s="4"/>
      <c r="I465" s="4"/>
      <c r="J465" s="4"/>
    </row>
    <row r="466">
      <c r="H466" s="4"/>
      <c r="I466" s="4"/>
      <c r="J466" s="4"/>
    </row>
    <row r="467">
      <c r="H467" s="4"/>
      <c r="I467" s="4"/>
      <c r="J467" s="4"/>
    </row>
    <row r="468">
      <c r="H468" s="4"/>
      <c r="I468" s="4"/>
      <c r="J468" s="4"/>
    </row>
    <row r="469">
      <c r="H469" s="4"/>
      <c r="I469" s="4"/>
      <c r="J469" s="4"/>
    </row>
    <row r="470">
      <c r="H470" s="4"/>
      <c r="I470" s="4"/>
      <c r="J470" s="4"/>
    </row>
    <row r="471">
      <c r="H471" s="4"/>
      <c r="I471" s="4"/>
      <c r="J471" s="4"/>
    </row>
    <row r="472">
      <c r="H472" s="4"/>
      <c r="I472" s="4"/>
      <c r="J472" s="4"/>
    </row>
    <row r="473">
      <c r="H473" s="4"/>
      <c r="I473" s="4"/>
      <c r="J473" s="4"/>
    </row>
    <row r="474">
      <c r="H474" s="4"/>
      <c r="I474" s="4"/>
      <c r="J474" s="4"/>
    </row>
    <row r="475">
      <c r="H475" s="4"/>
      <c r="I475" s="4"/>
      <c r="J475" s="4"/>
    </row>
    <row r="476">
      <c r="H476" s="4"/>
      <c r="I476" s="4"/>
      <c r="J476" s="4"/>
    </row>
    <row r="477">
      <c r="H477" s="4"/>
      <c r="I477" s="4"/>
      <c r="J477" s="4"/>
    </row>
    <row r="478">
      <c r="H478" s="4"/>
      <c r="I478" s="4"/>
      <c r="J478" s="4"/>
    </row>
    <row r="479">
      <c r="H479" s="4"/>
      <c r="I479" s="4"/>
      <c r="J479" s="4"/>
    </row>
    <row r="480">
      <c r="H480" s="4"/>
      <c r="I480" s="4"/>
      <c r="J480" s="4"/>
    </row>
    <row r="481">
      <c r="H481" s="4"/>
      <c r="I481" s="4"/>
      <c r="J481" s="4"/>
    </row>
    <row r="482">
      <c r="H482" s="4"/>
      <c r="I482" s="4"/>
      <c r="J482" s="4"/>
    </row>
    <row r="483">
      <c r="H483" s="4"/>
      <c r="I483" s="4"/>
      <c r="J483" s="4"/>
    </row>
    <row r="484">
      <c r="H484" s="4"/>
      <c r="I484" s="4"/>
      <c r="J484" s="4"/>
    </row>
    <row r="485">
      <c r="H485" s="4"/>
      <c r="I485" s="4"/>
      <c r="J485" s="4"/>
    </row>
    <row r="486">
      <c r="H486" s="4"/>
      <c r="I486" s="4"/>
      <c r="J486" s="4"/>
    </row>
    <row r="487">
      <c r="H487" s="4"/>
      <c r="I487" s="4"/>
      <c r="J487" s="4"/>
    </row>
    <row r="488">
      <c r="H488" s="4"/>
      <c r="I488" s="4"/>
      <c r="J488" s="4"/>
    </row>
    <row r="489">
      <c r="H489" s="4"/>
      <c r="I489" s="4"/>
      <c r="J489" s="4"/>
    </row>
    <row r="490">
      <c r="H490" s="4"/>
      <c r="I490" s="4"/>
      <c r="J490" s="4"/>
    </row>
    <row r="491">
      <c r="H491" s="4"/>
      <c r="I491" s="4"/>
      <c r="J491" s="4"/>
    </row>
    <row r="492">
      <c r="H492" s="4"/>
      <c r="I492" s="4"/>
      <c r="J492" s="4"/>
    </row>
    <row r="493">
      <c r="H493" s="4"/>
      <c r="I493" s="4"/>
      <c r="J493" s="4"/>
    </row>
    <row r="494">
      <c r="H494" s="4"/>
      <c r="I494" s="4"/>
      <c r="J494" s="4"/>
    </row>
    <row r="495">
      <c r="H495" s="4"/>
      <c r="I495" s="4"/>
      <c r="J495" s="4"/>
    </row>
    <row r="496">
      <c r="H496" s="4"/>
      <c r="I496" s="4"/>
      <c r="J496" s="4"/>
    </row>
    <row r="497">
      <c r="H497" s="4"/>
      <c r="I497" s="4"/>
      <c r="J497" s="4"/>
    </row>
    <row r="498">
      <c r="H498" s="4"/>
      <c r="I498" s="4"/>
      <c r="J498" s="4"/>
    </row>
    <row r="499">
      <c r="H499" s="4"/>
      <c r="I499" s="4"/>
      <c r="J499" s="4"/>
    </row>
    <row r="500">
      <c r="H500" s="4"/>
      <c r="I500" s="4"/>
      <c r="J500" s="4"/>
    </row>
    <row r="501">
      <c r="H501" s="4"/>
      <c r="I501" s="4"/>
      <c r="J501" s="4"/>
    </row>
    <row r="502">
      <c r="H502" s="4"/>
      <c r="I502" s="4"/>
      <c r="J502" s="4"/>
    </row>
    <row r="503">
      <c r="H503" s="4"/>
      <c r="I503" s="4"/>
      <c r="J503" s="4"/>
    </row>
    <row r="504">
      <c r="H504" s="4"/>
      <c r="I504" s="4"/>
      <c r="J504" s="4"/>
    </row>
    <row r="505">
      <c r="H505" s="4"/>
      <c r="I505" s="4"/>
      <c r="J505" s="4"/>
    </row>
    <row r="506">
      <c r="H506" s="4"/>
      <c r="I506" s="4"/>
      <c r="J506" s="4"/>
    </row>
    <row r="507">
      <c r="H507" s="4"/>
      <c r="I507" s="4"/>
      <c r="J507" s="4"/>
    </row>
    <row r="508">
      <c r="H508" s="4"/>
      <c r="I508" s="4"/>
      <c r="J508" s="4"/>
    </row>
    <row r="509">
      <c r="H509" s="4"/>
      <c r="I509" s="4"/>
      <c r="J509" s="4"/>
    </row>
    <row r="510">
      <c r="H510" s="4"/>
      <c r="I510" s="4"/>
      <c r="J510" s="4"/>
    </row>
    <row r="511">
      <c r="H511" s="4"/>
      <c r="I511" s="4"/>
      <c r="J511" s="4"/>
    </row>
    <row r="512">
      <c r="H512" s="4"/>
      <c r="I512" s="4"/>
      <c r="J512" s="4"/>
    </row>
    <row r="513">
      <c r="H513" s="4"/>
      <c r="I513" s="4"/>
      <c r="J513" s="4"/>
    </row>
    <row r="514">
      <c r="H514" s="4"/>
      <c r="I514" s="4"/>
      <c r="J514" s="4"/>
    </row>
    <row r="515">
      <c r="H515" s="4"/>
      <c r="I515" s="4"/>
      <c r="J515" s="4"/>
    </row>
    <row r="516">
      <c r="H516" s="4"/>
      <c r="I516" s="4"/>
      <c r="J516" s="4"/>
    </row>
    <row r="517">
      <c r="H517" s="4"/>
      <c r="I517" s="4"/>
      <c r="J517" s="4"/>
    </row>
    <row r="518">
      <c r="H518" s="4"/>
      <c r="I518" s="4"/>
      <c r="J518" s="4"/>
    </row>
    <row r="519">
      <c r="H519" s="4"/>
      <c r="I519" s="4"/>
      <c r="J519" s="4"/>
    </row>
    <row r="520">
      <c r="H520" s="4"/>
      <c r="I520" s="4"/>
      <c r="J520" s="4"/>
    </row>
    <row r="521">
      <c r="H521" s="4"/>
      <c r="I521" s="4"/>
      <c r="J521" s="4"/>
    </row>
    <row r="522">
      <c r="H522" s="4"/>
      <c r="I522" s="4"/>
      <c r="J522" s="4"/>
    </row>
    <row r="523">
      <c r="H523" s="4"/>
      <c r="I523" s="4"/>
      <c r="J523" s="4"/>
    </row>
    <row r="524">
      <c r="H524" s="4"/>
      <c r="I524" s="4"/>
      <c r="J524" s="4"/>
    </row>
    <row r="525">
      <c r="H525" s="4"/>
      <c r="I525" s="4"/>
      <c r="J525" s="4"/>
    </row>
    <row r="526">
      <c r="H526" s="4"/>
      <c r="I526" s="4"/>
      <c r="J526" s="4"/>
    </row>
    <row r="527">
      <c r="H527" s="4"/>
      <c r="I527" s="4"/>
      <c r="J527" s="4"/>
    </row>
    <row r="528">
      <c r="H528" s="4"/>
      <c r="I528" s="4"/>
      <c r="J528" s="4"/>
    </row>
    <row r="529">
      <c r="H529" s="4"/>
      <c r="I529" s="4"/>
      <c r="J529" s="4"/>
    </row>
    <row r="530">
      <c r="H530" s="4"/>
      <c r="I530" s="4"/>
      <c r="J530" s="4"/>
    </row>
    <row r="531">
      <c r="H531" s="4"/>
      <c r="I531" s="4"/>
      <c r="J531" s="4"/>
    </row>
    <row r="532">
      <c r="H532" s="4"/>
      <c r="I532" s="4"/>
      <c r="J532" s="4"/>
    </row>
    <row r="533">
      <c r="H533" s="4"/>
      <c r="I533" s="4"/>
      <c r="J533" s="4"/>
    </row>
    <row r="534">
      <c r="H534" s="4"/>
      <c r="I534" s="4"/>
      <c r="J534" s="4"/>
    </row>
    <row r="535">
      <c r="H535" s="4"/>
      <c r="I535" s="4"/>
      <c r="J535" s="4"/>
    </row>
    <row r="536">
      <c r="H536" s="4"/>
      <c r="I536" s="4"/>
      <c r="J536" s="4"/>
    </row>
    <row r="537">
      <c r="H537" s="4"/>
      <c r="I537" s="4"/>
      <c r="J537" s="4"/>
    </row>
    <row r="538">
      <c r="H538" s="4"/>
      <c r="I538" s="4"/>
      <c r="J538" s="4"/>
    </row>
    <row r="539">
      <c r="H539" s="4"/>
      <c r="I539" s="4"/>
      <c r="J539" s="4"/>
    </row>
    <row r="540">
      <c r="H540" s="4"/>
      <c r="I540" s="4"/>
      <c r="J540" s="4"/>
    </row>
    <row r="541">
      <c r="H541" s="4"/>
      <c r="I541" s="4"/>
      <c r="J541" s="4"/>
    </row>
    <row r="542">
      <c r="H542" s="4"/>
      <c r="I542" s="4"/>
      <c r="J542" s="4"/>
    </row>
    <row r="543">
      <c r="H543" s="4"/>
      <c r="I543" s="4"/>
      <c r="J543" s="4"/>
    </row>
    <row r="544">
      <c r="H544" s="4"/>
      <c r="I544" s="4"/>
      <c r="J544" s="4"/>
    </row>
    <row r="545">
      <c r="H545" s="4"/>
      <c r="I545" s="4"/>
      <c r="J545" s="4"/>
    </row>
    <row r="546">
      <c r="H546" s="4"/>
      <c r="I546" s="4"/>
      <c r="J546" s="4"/>
    </row>
    <row r="547">
      <c r="H547" s="4"/>
      <c r="I547" s="4"/>
      <c r="J547" s="4"/>
    </row>
    <row r="548">
      <c r="H548" s="4"/>
      <c r="I548" s="4"/>
      <c r="J548" s="4"/>
    </row>
    <row r="549">
      <c r="H549" s="4"/>
      <c r="I549" s="4"/>
      <c r="J549" s="4"/>
    </row>
    <row r="550">
      <c r="H550" s="4"/>
      <c r="I550" s="4"/>
      <c r="J550" s="4"/>
    </row>
    <row r="551">
      <c r="H551" s="4"/>
      <c r="I551" s="4"/>
      <c r="J551" s="4"/>
    </row>
    <row r="552">
      <c r="H552" s="4"/>
      <c r="I552" s="4"/>
      <c r="J552" s="4"/>
    </row>
    <row r="553">
      <c r="H553" s="4"/>
      <c r="I553" s="4"/>
      <c r="J553" s="4"/>
    </row>
    <row r="554">
      <c r="H554" s="4"/>
      <c r="I554" s="4"/>
      <c r="J554" s="4"/>
    </row>
    <row r="555">
      <c r="H555" s="4"/>
      <c r="I555" s="4"/>
      <c r="J555" s="4"/>
    </row>
    <row r="556">
      <c r="H556" s="4"/>
      <c r="I556" s="4"/>
      <c r="J556" s="4"/>
    </row>
    <row r="557">
      <c r="H557" s="4"/>
      <c r="I557" s="4"/>
      <c r="J557" s="4"/>
    </row>
    <row r="558">
      <c r="H558" s="4"/>
      <c r="I558" s="4"/>
      <c r="J558" s="4"/>
    </row>
    <row r="559">
      <c r="H559" s="4"/>
      <c r="I559" s="4"/>
      <c r="J559" s="4"/>
    </row>
    <row r="560">
      <c r="H560" s="4"/>
      <c r="I560" s="4"/>
      <c r="J560" s="4"/>
    </row>
    <row r="561">
      <c r="H561" s="4"/>
      <c r="I561" s="4"/>
      <c r="J561" s="4"/>
    </row>
    <row r="562">
      <c r="H562" s="4"/>
      <c r="I562" s="4"/>
      <c r="J562" s="4"/>
    </row>
    <row r="563">
      <c r="H563" s="4"/>
      <c r="I563" s="4"/>
      <c r="J563" s="4"/>
    </row>
    <row r="564">
      <c r="H564" s="4"/>
      <c r="I564" s="4"/>
      <c r="J564" s="4"/>
    </row>
    <row r="565">
      <c r="H565" s="4"/>
      <c r="I565" s="4"/>
      <c r="J565" s="4"/>
    </row>
    <row r="566">
      <c r="H566" s="4"/>
      <c r="I566" s="4"/>
      <c r="J566" s="4"/>
    </row>
    <row r="567">
      <c r="H567" s="4"/>
      <c r="I567" s="4"/>
      <c r="J567" s="4"/>
    </row>
    <row r="568">
      <c r="H568" s="4"/>
      <c r="I568" s="4"/>
      <c r="J568" s="4"/>
    </row>
    <row r="569">
      <c r="H569" s="4"/>
      <c r="I569" s="4"/>
      <c r="J569" s="4"/>
    </row>
    <row r="570">
      <c r="H570" s="4"/>
      <c r="I570" s="4"/>
      <c r="J570" s="4"/>
    </row>
    <row r="571">
      <c r="H571" s="4"/>
      <c r="I571" s="4"/>
      <c r="J571" s="4"/>
    </row>
    <row r="572">
      <c r="H572" s="4"/>
      <c r="I572" s="4"/>
      <c r="J572" s="4"/>
    </row>
    <row r="573">
      <c r="H573" s="4"/>
      <c r="I573" s="4"/>
      <c r="J573" s="4"/>
    </row>
    <row r="574">
      <c r="H574" s="4"/>
      <c r="I574" s="4"/>
      <c r="J574" s="4"/>
    </row>
    <row r="575">
      <c r="H575" s="4"/>
      <c r="I575" s="4"/>
      <c r="J575" s="4"/>
    </row>
    <row r="576">
      <c r="H576" s="4"/>
      <c r="I576" s="4"/>
      <c r="J576" s="4"/>
    </row>
    <row r="577">
      <c r="H577" s="4"/>
      <c r="I577" s="4"/>
      <c r="J577" s="4"/>
    </row>
    <row r="578">
      <c r="H578" s="4"/>
      <c r="I578" s="4"/>
      <c r="J578" s="4"/>
    </row>
    <row r="579">
      <c r="H579" s="4"/>
      <c r="I579" s="4"/>
      <c r="J579" s="4"/>
    </row>
    <row r="580">
      <c r="H580" s="4"/>
      <c r="I580" s="4"/>
      <c r="J580" s="4"/>
    </row>
    <row r="581">
      <c r="H581" s="4"/>
      <c r="I581" s="4"/>
      <c r="J581" s="4"/>
    </row>
    <row r="582">
      <c r="H582" s="4"/>
      <c r="I582" s="4"/>
      <c r="J582" s="4"/>
    </row>
    <row r="583">
      <c r="H583" s="4"/>
      <c r="I583" s="4"/>
      <c r="J583" s="4"/>
    </row>
    <row r="584">
      <c r="H584" s="4"/>
      <c r="I584" s="4"/>
      <c r="J584" s="4"/>
    </row>
    <row r="585">
      <c r="H585" s="4"/>
      <c r="I585" s="4"/>
      <c r="J585" s="4"/>
    </row>
    <row r="586">
      <c r="H586" s="4"/>
      <c r="I586" s="4"/>
      <c r="J586" s="4"/>
    </row>
    <row r="587">
      <c r="H587" s="4"/>
      <c r="I587" s="4"/>
      <c r="J587" s="4"/>
    </row>
    <row r="588">
      <c r="H588" s="4"/>
      <c r="I588" s="4"/>
      <c r="J588" s="4"/>
    </row>
    <row r="589">
      <c r="H589" s="4"/>
      <c r="I589" s="4"/>
      <c r="J589" s="4"/>
    </row>
    <row r="590">
      <c r="H590" s="4"/>
      <c r="I590" s="4"/>
      <c r="J590" s="4"/>
    </row>
    <row r="591">
      <c r="H591" s="4"/>
      <c r="I591" s="4"/>
      <c r="J591" s="4"/>
    </row>
    <row r="592">
      <c r="H592" s="4"/>
      <c r="I592" s="4"/>
      <c r="J592" s="4"/>
    </row>
    <row r="593">
      <c r="H593" s="4"/>
      <c r="I593" s="4"/>
      <c r="J593" s="4"/>
    </row>
    <row r="594">
      <c r="H594" s="4"/>
      <c r="I594" s="4"/>
      <c r="J594" s="4"/>
    </row>
    <row r="595">
      <c r="H595" s="4"/>
      <c r="I595" s="4"/>
      <c r="J595" s="4"/>
    </row>
    <row r="596">
      <c r="H596" s="4"/>
      <c r="I596" s="4"/>
      <c r="J596" s="4"/>
    </row>
    <row r="597">
      <c r="H597" s="4"/>
      <c r="I597" s="4"/>
      <c r="J597" s="4"/>
    </row>
    <row r="598">
      <c r="H598" s="4"/>
      <c r="I598" s="4"/>
      <c r="J598" s="4"/>
    </row>
    <row r="599">
      <c r="H599" s="4"/>
      <c r="I599" s="4"/>
      <c r="J599" s="4"/>
    </row>
    <row r="600">
      <c r="H600" s="4"/>
      <c r="I600" s="4"/>
      <c r="J600" s="4"/>
    </row>
    <row r="601">
      <c r="H601" s="4"/>
      <c r="I601" s="4"/>
      <c r="J601" s="4"/>
    </row>
    <row r="602">
      <c r="H602" s="4"/>
      <c r="I602" s="4"/>
      <c r="J602" s="4"/>
    </row>
    <row r="603">
      <c r="H603" s="4"/>
      <c r="I603" s="4"/>
      <c r="J603" s="4"/>
    </row>
    <row r="604">
      <c r="H604" s="4"/>
      <c r="I604" s="4"/>
      <c r="J604" s="4"/>
    </row>
    <row r="605">
      <c r="H605" s="4"/>
      <c r="I605" s="4"/>
      <c r="J605" s="4"/>
    </row>
    <row r="606">
      <c r="H606" s="4"/>
      <c r="I606" s="4"/>
      <c r="J606" s="4"/>
    </row>
    <row r="607">
      <c r="H607" s="4"/>
      <c r="I607" s="4"/>
      <c r="J607" s="4"/>
    </row>
    <row r="608">
      <c r="H608" s="4"/>
      <c r="I608" s="4"/>
      <c r="J608" s="4"/>
    </row>
    <row r="609">
      <c r="H609" s="4"/>
      <c r="I609" s="4"/>
      <c r="J609" s="4"/>
    </row>
    <row r="610">
      <c r="H610" s="4"/>
      <c r="I610" s="4"/>
      <c r="J610" s="4"/>
    </row>
    <row r="611">
      <c r="H611" s="4"/>
      <c r="I611" s="4"/>
      <c r="J611" s="4"/>
    </row>
    <row r="612">
      <c r="H612" s="4"/>
      <c r="I612" s="4"/>
      <c r="J612" s="4"/>
    </row>
    <row r="613">
      <c r="H613" s="4"/>
      <c r="I613" s="4"/>
      <c r="J613" s="4"/>
    </row>
    <row r="614">
      <c r="H614" s="4"/>
      <c r="I614" s="4"/>
      <c r="J614" s="4"/>
    </row>
    <row r="615">
      <c r="H615" s="4"/>
      <c r="I615" s="4"/>
      <c r="J615" s="4"/>
    </row>
    <row r="616">
      <c r="H616" s="4"/>
      <c r="I616" s="4"/>
      <c r="J616" s="4"/>
    </row>
    <row r="617">
      <c r="H617" s="4"/>
      <c r="I617" s="4"/>
      <c r="J617" s="4"/>
    </row>
    <row r="618">
      <c r="H618" s="4"/>
      <c r="I618" s="4"/>
      <c r="J618" s="4"/>
    </row>
    <row r="619">
      <c r="H619" s="4"/>
      <c r="I619" s="4"/>
      <c r="J619" s="4"/>
    </row>
    <row r="620">
      <c r="H620" s="4"/>
      <c r="I620" s="4"/>
      <c r="J620" s="4"/>
    </row>
    <row r="621">
      <c r="H621" s="4"/>
      <c r="I621" s="4"/>
      <c r="J621" s="4"/>
    </row>
    <row r="622">
      <c r="H622" s="4"/>
      <c r="I622" s="4"/>
      <c r="J622" s="4"/>
    </row>
    <row r="623">
      <c r="H623" s="4"/>
      <c r="I623" s="4"/>
      <c r="J623" s="4"/>
    </row>
    <row r="624">
      <c r="H624" s="4"/>
      <c r="I624" s="4"/>
      <c r="J624" s="4"/>
    </row>
    <row r="625">
      <c r="H625" s="4"/>
      <c r="I625" s="4"/>
      <c r="J625" s="4"/>
    </row>
    <row r="626">
      <c r="H626" s="4"/>
      <c r="I626" s="4"/>
      <c r="J626" s="4"/>
    </row>
    <row r="627">
      <c r="H627" s="4"/>
      <c r="I627" s="4"/>
      <c r="J627" s="4"/>
    </row>
    <row r="628">
      <c r="H628" s="4"/>
      <c r="I628" s="4"/>
      <c r="J628" s="4"/>
    </row>
    <row r="629">
      <c r="H629" s="4"/>
      <c r="I629" s="4"/>
      <c r="J629" s="4"/>
    </row>
    <row r="630">
      <c r="H630" s="4"/>
      <c r="I630" s="4"/>
      <c r="J630" s="4"/>
    </row>
    <row r="631">
      <c r="H631" s="4"/>
      <c r="I631" s="4"/>
      <c r="J631" s="4"/>
    </row>
    <row r="632">
      <c r="H632" s="4"/>
      <c r="I632" s="4"/>
      <c r="J632" s="4"/>
    </row>
    <row r="633">
      <c r="H633" s="4"/>
      <c r="I633" s="4"/>
      <c r="J633" s="4"/>
    </row>
    <row r="634">
      <c r="H634" s="4"/>
      <c r="I634" s="4"/>
      <c r="J634" s="4"/>
    </row>
    <row r="635">
      <c r="H635" s="4"/>
      <c r="I635" s="4"/>
      <c r="J635" s="4"/>
    </row>
    <row r="636">
      <c r="H636" s="4"/>
      <c r="I636" s="4"/>
      <c r="J636" s="4"/>
    </row>
    <row r="637">
      <c r="H637" s="4"/>
      <c r="I637" s="4"/>
      <c r="J637" s="4"/>
    </row>
    <row r="638">
      <c r="H638" s="4"/>
      <c r="I638" s="4"/>
      <c r="J638" s="4"/>
    </row>
    <row r="639">
      <c r="H639" s="4"/>
      <c r="I639" s="4"/>
      <c r="J639" s="4"/>
    </row>
    <row r="640">
      <c r="H640" s="4"/>
      <c r="I640" s="4"/>
      <c r="J640" s="4"/>
    </row>
    <row r="641">
      <c r="H641" s="4"/>
      <c r="I641" s="4"/>
      <c r="J641" s="4"/>
    </row>
    <row r="642">
      <c r="H642" s="4"/>
      <c r="I642" s="4"/>
      <c r="J642" s="4"/>
    </row>
    <row r="643">
      <c r="H643" s="4"/>
      <c r="I643" s="4"/>
      <c r="J643" s="4"/>
    </row>
    <row r="644">
      <c r="H644" s="4"/>
      <c r="I644" s="4"/>
      <c r="J644" s="4"/>
    </row>
    <row r="645">
      <c r="H645" s="4"/>
      <c r="I645" s="4"/>
      <c r="J645" s="4"/>
    </row>
    <row r="646">
      <c r="H646" s="4"/>
      <c r="I646" s="4"/>
      <c r="J646" s="4"/>
    </row>
    <row r="647">
      <c r="H647" s="4"/>
      <c r="I647" s="4"/>
      <c r="J647" s="4"/>
    </row>
    <row r="648">
      <c r="H648" s="4"/>
      <c r="I648" s="4"/>
      <c r="J648" s="4"/>
    </row>
    <row r="649">
      <c r="H649" s="4"/>
      <c r="I649" s="4"/>
      <c r="J649" s="4"/>
    </row>
    <row r="650">
      <c r="H650" s="4"/>
      <c r="I650" s="4"/>
      <c r="J650" s="4"/>
    </row>
    <row r="651">
      <c r="H651" s="4"/>
      <c r="I651" s="4"/>
      <c r="J651" s="4"/>
    </row>
    <row r="652">
      <c r="H652" s="4"/>
      <c r="I652" s="4"/>
      <c r="J652" s="4"/>
    </row>
    <row r="653">
      <c r="H653" s="4"/>
      <c r="I653" s="4"/>
      <c r="J653" s="4"/>
    </row>
    <row r="654">
      <c r="H654" s="4"/>
      <c r="I654" s="4"/>
      <c r="J654" s="4"/>
    </row>
    <row r="655">
      <c r="H655" s="4"/>
      <c r="I655" s="4"/>
      <c r="J655" s="4"/>
    </row>
    <row r="656">
      <c r="H656" s="4"/>
      <c r="I656" s="4"/>
      <c r="J656" s="4"/>
    </row>
    <row r="657">
      <c r="H657" s="4"/>
      <c r="I657" s="4"/>
      <c r="J657" s="4"/>
    </row>
    <row r="658">
      <c r="H658" s="4"/>
      <c r="I658" s="4"/>
      <c r="J658" s="4"/>
    </row>
    <row r="659">
      <c r="H659" s="4"/>
      <c r="I659" s="4"/>
      <c r="J659" s="4"/>
    </row>
    <row r="660">
      <c r="H660" s="4"/>
      <c r="I660" s="4"/>
      <c r="J660" s="4"/>
    </row>
    <row r="661">
      <c r="H661" s="4"/>
      <c r="I661" s="4"/>
      <c r="J661" s="4"/>
    </row>
    <row r="662">
      <c r="H662" s="4"/>
      <c r="I662" s="4"/>
      <c r="J662" s="4"/>
    </row>
    <row r="663">
      <c r="H663" s="4"/>
      <c r="I663" s="4"/>
      <c r="J663" s="4"/>
    </row>
    <row r="664">
      <c r="H664" s="4"/>
      <c r="I664" s="4"/>
      <c r="J664" s="4"/>
    </row>
    <row r="665">
      <c r="H665" s="4"/>
      <c r="I665" s="4"/>
      <c r="J665" s="4"/>
    </row>
    <row r="666">
      <c r="H666" s="4"/>
      <c r="I666" s="4"/>
      <c r="J666" s="4"/>
    </row>
    <row r="667">
      <c r="H667" s="4"/>
      <c r="I667" s="4"/>
      <c r="J667" s="4"/>
    </row>
    <row r="668">
      <c r="H668" s="4"/>
      <c r="I668" s="4"/>
      <c r="J668" s="4"/>
    </row>
    <row r="669">
      <c r="H669" s="4"/>
      <c r="I669" s="4"/>
      <c r="J669" s="4"/>
    </row>
    <row r="670">
      <c r="H670" s="4"/>
      <c r="I670" s="4"/>
      <c r="J670" s="4"/>
    </row>
    <row r="671">
      <c r="H671" s="4"/>
      <c r="I671" s="4"/>
      <c r="J671" s="4"/>
    </row>
    <row r="672">
      <c r="H672" s="4"/>
      <c r="I672" s="4"/>
      <c r="J672" s="4"/>
    </row>
    <row r="673">
      <c r="H673" s="4"/>
      <c r="I673" s="4"/>
      <c r="J673" s="4"/>
    </row>
    <row r="674">
      <c r="H674" s="4"/>
      <c r="I674" s="4"/>
      <c r="J674" s="4"/>
    </row>
    <row r="675">
      <c r="H675" s="4"/>
      <c r="I675" s="4"/>
      <c r="J675" s="4"/>
    </row>
    <row r="676">
      <c r="H676" s="4"/>
      <c r="I676" s="4"/>
      <c r="J676" s="4"/>
    </row>
    <row r="677">
      <c r="H677" s="4"/>
      <c r="I677" s="4"/>
      <c r="J677" s="4"/>
    </row>
    <row r="678">
      <c r="H678" s="4"/>
      <c r="I678" s="4"/>
      <c r="J678" s="4"/>
    </row>
    <row r="679">
      <c r="H679" s="4"/>
      <c r="I679" s="4"/>
      <c r="J679" s="4"/>
    </row>
    <row r="680">
      <c r="H680" s="4"/>
      <c r="I680" s="4"/>
      <c r="J680" s="4"/>
    </row>
    <row r="681">
      <c r="H681" s="4"/>
      <c r="I681" s="4"/>
      <c r="J681" s="4"/>
    </row>
    <row r="682">
      <c r="H682" s="4"/>
      <c r="I682" s="4"/>
      <c r="J682" s="4"/>
    </row>
    <row r="683">
      <c r="H683" s="4"/>
      <c r="I683" s="4"/>
      <c r="J683" s="4"/>
    </row>
    <row r="684">
      <c r="H684" s="4"/>
      <c r="I684" s="4"/>
      <c r="J684" s="4"/>
    </row>
    <row r="685">
      <c r="H685" s="4"/>
      <c r="I685" s="4"/>
      <c r="J685" s="4"/>
    </row>
    <row r="686">
      <c r="H686" s="4"/>
      <c r="I686" s="4"/>
      <c r="J686" s="4"/>
    </row>
    <row r="687">
      <c r="H687" s="4"/>
      <c r="I687" s="4"/>
      <c r="J687" s="4"/>
    </row>
    <row r="688">
      <c r="H688" s="4"/>
      <c r="I688" s="4"/>
      <c r="J688" s="4"/>
    </row>
    <row r="689">
      <c r="H689" s="4"/>
      <c r="I689" s="4"/>
      <c r="J689" s="4"/>
    </row>
    <row r="690">
      <c r="H690" s="4"/>
      <c r="I690" s="4"/>
      <c r="J690" s="4"/>
    </row>
    <row r="691">
      <c r="H691" s="4"/>
      <c r="I691" s="4"/>
      <c r="J691" s="4"/>
    </row>
    <row r="692">
      <c r="H692" s="4"/>
      <c r="I692" s="4"/>
      <c r="J692" s="4"/>
    </row>
    <row r="693">
      <c r="H693" s="4"/>
      <c r="I693" s="4"/>
      <c r="J693" s="4"/>
    </row>
    <row r="694">
      <c r="H694" s="4"/>
      <c r="I694" s="4"/>
      <c r="J694" s="4"/>
    </row>
    <row r="695">
      <c r="H695" s="4"/>
      <c r="I695" s="4"/>
      <c r="J695" s="4"/>
    </row>
    <row r="696">
      <c r="H696" s="4"/>
      <c r="I696" s="4"/>
      <c r="J696" s="4"/>
    </row>
    <row r="697">
      <c r="H697" s="4"/>
      <c r="I697" s="4"/>
      <c r="J697" s="4"/>
    </row>
    <row r="698">
      <c r="H698" s="4"/>
      <c r="I698" s="4"/>
      <c r="J698" s="4"/>
    </row>
    <row r="699">
      <c r="H699" s="4"/>
      <c r="I699" s="4"/>
      <c r="J699" s="4"/>
    </row>
    <row r="700">
      <c r="H700" s="4"/>
      <c r="I700" s="4"/>
      <c r="J700" s="4"/>
    </row>
    <row r="701">
      <c r="H701" s="4"/>
      <c r="I701" s="4"/>
      <c r="J701" s="4"/>
    </row>
    <row r="702">
      <c r="H702" s="4"/>
      <c r="I702" s="4"/>
      <c r="J702" s="4"/>
    </row>
    <row r="703">
      <c r="H703" s="4"/>
      <c r="I703" s="4"/>
      <c r="J703" s="4"/>
    </row>
    <row r="704">
      <c r="H704" s="4"/>
      <c r="I704" s="4"/>
      <c r="J704" s="4"/>
    </row>
    <row r="705">
      <c r="H705" s="4"/>
      <c r="I705" s="4"/>
      <c r="J705" s="4"/>
    </row>
    <row r="706">
      <c r="H706" s="4"/>
      <c r="I706" s="4"/>
      <c r="J706" s="4"/>
    </row>
    <row r="707">
      <c r="H707" s="4"/>
      <c r="I707" s="4"/>
      <c r="J707" s="4"/>
    </row>
    <row r="708">
      <c r="H708" s="4"/>
      <c r="I708" s="4"/>
      <c r="J708" s="4"/>
    </row>
    <row r="709">
      <c r="H709" s="4"/>
      <c r="I709" s="4"/>
      <c r="J709" s="4"/>
    </row>
    <row r="710">
      <c r="H710" s="4"/>
      <c r="I710" s="4"/>
      <c r="J710" s="4"/>
    </row>
    <row r="711">
      <c r="H711" s="4"/>
      <c r="I711" s="4"/>
      <c r="J711" s="4"/>
    </row>
    <row r="712">
      <c r="H712" s="4"/>
      <c r="I712" s="4"/>
      <c r="J712" s="4"/>
    </row>
    <row r="713">
      <c r="H713" s="4"/>
      <c r="I713" s="4"/>
      <c r="J713" s="4"/>
    </row>
    <row r="714">
      <c r="H714" s="4"/>
      <c r="I714" s="4"/>
      <c r="J714" s="4"/>
    </row>
    <row r="715">
      <c r="H715" s="4"/>
      <c r="I715" s="4"/>
      <c r="J715" s="4"/>
    </row>
    <row r="716">
      <c r="H716" s="4"/>
      <c r="I716" s="4"/>
      <c r="J716" s="4"/>
    </row>
    <row r="717">
      <c r="H717" s="4"/>
      <c r="I717" s="4"/>
      <c r="J717" s="4"/>
    </row>
    <row r="718">
      <c r="H718" s="4"/>
      <c r="I718" s="4"/>
      <c r="J718" s="4"/>
    </row>
    <row r="719">
      <c r="H719" s="4"/>
      <c r="I719" s="4"/>
      <c r="J719" s="4"/>
    </row>
    <row r="720">
      <c r="H720" s="4"/>
      <c r="I720" s="4"/>
      <c r="J720" s="4"/>
    </row>
    <row r="721">
      <c r="H721" s="4"/>
      <c r="I721" s="4"/>
      <c r="J721" s="4"/>
    </row>
    <row r="722">
      <c r="H722" s="4"/>
      <c r="I722" s="4"/>
      <c r="J722" s="4"/>
    </row>
    <row r="723">
      <c r="H723" s="4"/>
      <c r="I723" s="4"/>
      <c r="J723" s="4"/>
    </row>
    <row r="724">
      <c r="H724" s="4"/>
      <c r="I724" s="4"/>
      <c r="J724" s="4"/>
    </row>
    <row r="725">
      <c r="H725" s="4"/>
      <c r="I725" s="4"/>
      <c r="J725" s="4"/>
    </row>
    <row r="726">
      <c r="H726" s="4"/>
      <c r="I726" s="4"/>
      <c r="J726" s="4"/>
    </row>
    <row r="727">
      <c r="H727" s="4"/>
      <c r="I727" s="4"/>
      <c r="J727" s="4"/>
    </row>
    <row r="728">
      <c r="H728" s="4"/>
      <c r="I728" s="4"/>
      <c r="J728" s="4"/>
    </row>
    <row r="729">
      <c r="H729" s="4"/>
      <c r="I729" s="4"/>
      <c r="J729" s="4"/>
    </row>
    <row r="730">
      <c r="H730" s="4"/>
      <c r="I730" s="4"/>
      <c r="J730" s="4"/>
    </row>
    <row r="731">
      <c r="H731" s="4"/>
      <c r="I731" s="4"/>
      <c r="J731" s="4"/>
    </row>
    <row r="732">
      <c r="H732" s="4"/>
      <c r="I732" s="4"/>
      <c r="J732" s="4"/>
    </row>
    <row r="733">
      <c r="H733" s="4"/>
      <c r="I733" s="4"/>
      <c r="J733" s="4"/>
    </row>
    <row r="734">
      <c r="H734" s="4"/>
      <c r="I734" s="4"/>
      <c r="J734" s="4"/>
    </row>
    <row r="735">
      <c r="H735" s="4"/>
      <c r="I735" s="4"/>
      <c r="J735" s="4"/>
    </row>
    <row r="736">
      <c r="H736" s="4"/>
      <c r="I736" s="4"/>
      <c r="J736" s="4"/>
    </row>
    <row r="737">
      <c r="H737" s="4"/>
      <c r="I737" s="4"/>
      <c r="J737" s="4"/>
    </row>
    <row r="738">
      <c r="H738" s="4"/>
      <c r="I738" s="4"/>
      <c r="J738" s="4"/>
    </row>
    <row r="739">
      <c r="H739" s="4"/>
      <c r="I739" s="4"/>
      <c r="J739" s="4"/>
    </row>
    <row r="740">
      <c r="H740" s="4"/>
      <c r="I740" s="4"/>
      <c r="J740" s="4"/>
    </row>
    <row r="741">
      <c r="H741" s="4"/>
      <c r="I741" s="4"/>
      <c r="J741" s="4"/>
    </row>
    <row r="742">
      <c r="H742" s="4"/>
      <c r="I742" s="4"/>
      <c r="J742" s="4"/>
    </row>
    <row r="743">
      <c r="H743" s="4"/>
      <c r="I743" s="4"/>
      <c r="J743" s="4"/>
    </row>
    <row r="744">
      <c r="H744" s="4"/>
      <c r="I744" s="4"/>
      <c r="J744" s="4"/>
    </row>
    <row r="745">
      <c r="H745" s="4"/>
      <c r="I745" s="4"/>
      <c r="J745" s="4"/>
    </row>
    <row r="746">
      <c r="H746" s="4"/>
      <c r="I746" s="4"/>
      <c r="J746" s="4"/>
    </row>
    <row r="747">
      <c r="H747" s="4"/>
      <c r="I747" s="4"/>
      <c r="J747" s="4"/>
    </row>
    <row r="748">
      <c r="H748" s="4"/>
      <c r="I748" s="4"/>
      <c r="J748" s="4"/>
    </row>
    <row r="749">
      <c r="H749" s="4"/>
      <c r="I749" s="4"/>
      <c r="J749" s="4"/>
    </row>
    <row r="750">
      <c r="H750" s="4"/>
      <c r="I750" s="4"/>
      <c r="J750" s="4"/>
    </row>
    <row r="751">
      <c r="H751" s="4"/>
      <c r="I751" s="4"/>
      <c r="J751" s="4"/>
    </row>
    <row r="752">
      <c r="H752" s="4"/>
      <c r="I752" s="4"/>
      <c r="J752" s="4"/>
    </row>
    <row r="753">
      <c r="H753" s="4"/>
      <c r="I753" s="4"/>
      <c r="J753" s="4"/>
    </row>
    <row r="754">
      <c r="H754" s="4"/>
      <c r="I754" s="4"/>
      <c r="J754" s="4"/>
    </row>
    <row r="755">
      <c r="H755" s="4"/>
      <c r="I755" s="4"/>
      <c r="J755" s="4"/>
    </row>
    <row r="756">
      <c r="H756" s="4"/>
      <c r="I756" s="4"/>
      <c r="J756" s="4"/>
    </row>
    <row r="757">
      <c r="H757" s="4"/>
      <c r="I757" s="4"/>
      <c r="J757" s="4"/>
    </row>
    <row r="758">
      <c r="H758" s="4"/>
      <c r="I758" s="4"/>
      <c r="J758" s="4"/>
    </row>
    <row r="759">
      <c r="H759" s="4"/>
      <c r="I759" s="4"/>
      <c r="J759" s="4"/>
    </row>
    <row r="760">
      <c r="H760" s="4"/>
      <c r="I760" s="4"/>
      <c r="J760" s="4"/>
    </row>
    <row r="761">
      <c r="H761" s="4"/>
      <c r="I761" s="4"/>
      <c r="J761" s="4"/>
    </row>
    <row r="762">
      <c r="H762" s="4"/>
      <c r="I762" s="4"/>
      <c r="J762" s="4"/>
    </row>
    <row r="763">
      <c r="H763" s="4"/>
      <c r="I763" s="4"/>
      <c r="J763" s="4"/>
    </row>
    <row r="764">
      <c r="H764" s="4"/>
      <c r="I764" s="4"/>
      <c r="J764" s="4"/>
    </row>
    <row r="765">
      <c r="H765" s="4"/>
      <c r="I765" s="4"/>
      <c r="J765" s="4"/>
    </row>
    <row r="766">
      <c r="H766" s="4"/>
      <c r="I766" s="4"/>
      <c r="J766" s="4"/>
    </row>
    <row r="767">
      <c r="H767" s="4"/>
      <c r="I767" s="4"/>
      <c r="J767" s="4"/>
    </row>
    <row r="768">
      <c r="H768" s="4"/>
      <c r="I768" s="4"/>
      <c r="J768" s="4"/>
    </row>
    <row r="769">
      <c r="H769" s="4"/>
      <c r="I769" s="4"/>
      <c r="J769" s="4"/>
    </row>
    <row r="770">
      <c r="H770" s="4"/>
      <c r="I770" s="4"/>
      <c r="J770" s="4"/>
    </row>
    <row r="771">
      <c r="H771" s="4"/>
      <c r="I771" s="4"/>
      <c r="J771" s="4"/>
    </row>
    <row r="772">
      <c r="H772" s="4"/>
      <c r="I772" s="4"/>
      <c r="J772" s="4"/>
    </row>
    <row r="773">
      <c r="H773" s="4"/>
      <c r="I773" s="4"/>
      <c r="J773" s="4"/>
    </row>
    <row r="774">
      <c r="H774" s="4"/>
      <c r="I774" s="4"/>
      <c r="J774" s="4"/>
    </row>
    <row r="775">
      <c r="H775" s="4"/>
      <c r="I775" s="4"/>
      <c r="J775" s="4"/>
    </row>
    <row r="776">
      <c r="H776" s="4"/>
      <c r="I776" s="4"/>
      <c r="J776" s="4"/>
    </row>
    <row r="777">
      <c r="H777" s="4"/>
      <c r="I777" s="4"/>
      <c r="J777" s="4"/>
    </row>
    <row r="778">
      <c r="H778" s="4"/>
      <c r="I778" s="4"/>
      <c r="J778" s="4"/>
    </row>
    <row r="779">
      <c r="H779" s="4"/>
      <c r="I779" s="4"/>
      <c r="J779" s="4"/>
    </row>
    <row r="780">
      <c r="H780" s="4"/>
      <c r="I780" s="4"/>
      <c r="J780" s="4"/>
    </row>
    <row r="781">
      <c r="H781" s="4"/>
      <c r="I781" s="4"/>
      <c r="J781" s="4"/>
    </row>
    <row r="782">
      <c r="H782" s="4"/>
      <c r="I782" s="4"/>
      <c r="J782" s="4"/>
    </row>
    <row r="783">
      <c r="H783" s="4"/>
      <c r="I783" s="4"/>
      <c r="J783" s="4"/>
    </row>
    <row r="784">
      <c r="H784" s="4"/>
      <c r="I784" s="4"/>
      <c r="J784" s="4"/>
    </row>
    <row r="785">
      <c r="H785" s="4"/>
      <c r="I785" s="4"/>
      <c r="J785" s="4"/>
    </row>
    <row r="786">
      <c r="H786" s="4"/>
      <c r="I786" s="4"/>
      <c r="J786" s="4"/>
    </row>
    <row r="787">
      <c r="H787" s="4"/>
      <c r="I787" s="4"/>
      <c r="J787" s="4"/>
    </row>
    <row r="788">
      <c r="H788" s="4"/>
      <c r="I788" s="4"/>
      <c r="J788" s="4"/>
    </row>
    <row r="789">
      <c r="H789" s="4"/>
      <c r="I789" s="4"/>
      <c r="J789" s="4"/>
    </row>
    <row r="790">
      <c r="H790" s="4"/>
      <c r="I790" s="4"/>
      <c r="J790" s="4"/>
    </row>
    <row r="791">
      <c r="H791" s="4"/>
      <c r="I791" s="4"/>
      <c r="J791" s="4"/>
    </row>
    <row r="792">
      <c r="H792" s="4"/>
      <c r="I792" s="4"/>
      <c r="J792" s="4"/>
    </row>
    <row r="793">
      <c r="H793" s="4"/>
      <c r="I793" s="4"/>
      <c r="J793" s="4"/>
    </row>
    <row r="794">
      <c r="H794" s="4"/>
      <c r="I794" s="4"/>
      <c r="J794" s="4"/>
    </row>
    <row r="795">
      <c r="H795" s="4"/>
      <c r="I795" s="4"/>
      <c r="J795" s="4"/>
    </row>
    <row r="796">
      <c r="H796" s="4"/>
      <c r="I796" s="4"/>
      <c r="J796" s="4"/>
    </row>
    <row r="797">
      <c r="H797" s="4"/>
      <c r="I797" s="4"/>
      <c r="J797" s="4"/>
    </row>
    <row r="798">
      <c r="H798" s="4"/>
      <c r="I798" s="4"/>
      <c r="J798" s="4"/>
    </row>
    <row r="799">
      <c r="H799" s="4"/>
      <c r="I799" s="4"/>
      <c r="J799" s="4"/>
    </row>
    <row r="800">
      <c r="H800" s="4"/>
      <c r="I800" s="4"/>
      <c r="J800" s="4"/>
    </row>
    <row r="801">
      <c r="H801" s="4"/>
      <c r="I801" s="4"/>
      <c r="J801" s="4"/>
    </row>
    <row r="802">
      <c r="H802" s="4"/>
      <c r="I802" s="4"/>
      <c r="J802" s="4"/>
    </row>
    <row r="803">
      <c r="H803" s="4"/>
      <c r="I803" s="4"/>
      <c r="J803" s="4"/>
    </row>
    <row r="804">
      <c r="H804" s="4"/>
      <c r="I804" s="4"/>
      <c r="J804" s="4"/>
    </row>
    <row r="805">
      <c r="H805" s="4"/>
      <c r="I805" s="4"/>
      <c r="J805" s="4"/>
    </row>
    <row r="806">
      <c r="H806" s="4"/>
      <c r="I806" s="4"/>
      <c r="J806" s="4"/>
    </row>
    <row r="807">
      <c r="H807" s="4"/>
      <c r="I807" s="4"/>
      <c r="J807" s="4"/>
    </row>
    <row r="808">
      <c r="H808" s="4"/>
      <c r="I808" s="4"/>
      <c r="J808" s="4"/>
    </row>
    <row r="809">
      <c r="H809" s="4"/>
      <c r="I809" s="4"/>
      <c r="J809" s="4"/>
    </row>
    <row r="810">
      <c r="H810" s="4"/>
      <c r="I810" s="4"/>
      <c r="J810" s="4"/>
    </row>
    <row r="811">
      <c r="H811" s="4"/>
      <c r="I811" s="4"/>
      <c r="J811" s="4"/>
    </row>
    <row r="812">
      <c r="H812" s="4"/>
      <c r="I812" s="4"/>
      <c r="J812" s="4"/>
    </row>
    <row r="813">
      <c r="H813" s="4"/>
      <c r="I813" s="4"/>
      <c r="J813" s="4"/>
    </row>
    <row r="814">
      <c r="H814" s="4"/>
      <c r="I814" s="4"/>
      <c r="J814" s="4"/>
    </row>
    <row r="815">
      <c r="H815" s="4"/>
      <c r="I815" s="4"/>
      <c r="J815" s="4"/>
    </row>
    <row r="816">
      <c r="H816" s="4"/>
      <c r="I816" s="4"/>
      <c r="J816" s="4"/>
    </row>
    <row r="817">
      <c r="H817" s="4"/>
      <c r="I817" s="4"/>
      <c r="J817" s="4"/>
    </row>
    <row r="818">
      <c r="H818" s="4"/>
      <c r="I818" s="4"/>
      <c r="J818" s="4"/>
    </row>
    <row r="819">
      <c r="H819" s="4"/>
      <c r="I819" s="4"/>
      <c r="J819" s="4"/>
    </row>
    <row r="820">
      <c r="H820" s="4"/>
      <c r="I820" s="4"/>
      <c r="J820" s="4"/>
    </row>
    <row r="821">
      <c r="H821" s="4"/>
      <c r="I821" s="4"/>
      <c r="J821" s="4"/>
    </row>
    <row r="822">
      <c r="H822" s="4"/>
      <c r="I822" s="4"/>
      <c r="J822" s="4"/>
    </row>
    <row r="823">
      <c r="H823" s="4"/>
      <c r="I823" s="4"/>
      <c r="J823" s="4"/>
    </row>
    <row r="824">
      <c r="H824" s="4"/>
      <c r="I824" s="4"/>
      <c r="J824" s="4"/>
    </row>
    <row r="825">
      <c r="H825" s="4"/>
      <c r="I825" s="4"/>
      <c r="J825" s="4"/>
    </row>
    <row r="826">
      <c r="H826" s="4"/>
      <c r="I826" s="4"/>
      <c r="J826" s="4"/>
    </row>
    <row r="827">
      <c r="H827" s="4"/>
      <c r="I827" s="4"/>
      <c r="J827" s="4"/>
    </row>
    <row r="828">
      <c r="H828" s="4"/>
      <c r="I828" s="4"/>
      <c r="J828" s="4"/>
    </row>
    <row r="829">
      <c r="H829" s="4"/>
      <c r="I829" s="4"/>
      <c r="J829" s="4"/>
    </row>
    <row r="830">
      <c r="H830" s="4"/>
      <c r="I830" s="4"/>
      <c r="J830" s="4"/>
    </row>
    <row r="831">
      <c r="H831" s="4"/>
      <c r="I831" s="4"/>
      <c r="J831" s="4"/>
    </row>
    <row r="832">
      <c r="H832" s="4"/>
      <c r="I832" s="4"/>
      <c r="J832" s="4"/>
    </row>
    <row r="833">
      <c r="H833" s="4"/>
      <c r="I833" s="4"/>
      <c r="J833" s="4"/>
    </row>
    <row r="834">
      <c r="H834" s="4"/>
      <c r="I834" s="4"/>
      <c r="J834" s="4"/>
    </row>
    <row r="835">
      <c r="H835" s="4"/>
      <c r="I835" s="4"/>
      <c r="J835" s="4"/>
    </row>
    <row r="836">
      <c r="H836" s="4"/>
      <c r="I836" s="4"/>
      <c r="J836" s="4"/>
    </row>
    <row r="837">
      <c r="H837" s="4"/>
      <c r="I837" s="4"/>
      <c r="J837" s="4"/>
    </row>
    <row r="838">
      <c r="H838" s="4"/>
      <c r="I838" s="4"/>
      <c r="J838" s="4"/>
    </row>
    <row r="839">
      <c r="H839" s="4"/>
      <c r="I839" s="4"/>
      <c r="J839" s="4"/>
    </row>
    <row r="840">
      <c r="H840" s="4"/>
      <c r="I840" s="4"/>
      <c r="J840" s="4"/>
    </row>
    <row r="841">
      <c r="H841" s="4"/>
      <c r="I841" s="4"/>
      <c r="J841" s="4"/>
    </row>
    <row r="842">
      <c r="H842" s="4"/>
      <c r="I842" s="4"/>
      <c r="J842" s="4"/>
    </row>
    <row r="843">
      <c r="H843" s="4"/>
      <c r="I843" s="4"/>
      <c r="J843" s="4"/>
    </row>
    <row r="844">
      <c r="H844" s="4"/>
      <c r="I844" s="4"/>
      <c r="J844" s="4"/>
    </row>
    <row r="845">
      <c r="H845" s="4"/>
      <c r="I845" s="4"/>
      <c r="J845" s="4"/>
    </row>
    <row r="846">
      <c r="H846" s="4"/>
      <c r="I846" s="4"/>
      <c r="J846" s="4"/>
    </row>
    <row r="847">
      <c r="H847" s="4"/>
      <c r="I847" s="4"/>
      <c r="J847" s="4"/>
    </row>
    <row r="848">
      <c r="H848" s="4"/>
      <c r="I848" s="4"/>
      <c r="J848" s="4"/>
    </row>
    <row r="849">
      <c r="H849" s="4"/>
      <c r="I849" s="4"/>
      <c r="J849" s="4"/>
    </row>
    <row r="850">
      <c r="H850" s="4"/>
      <c r="I850" s="4"/>
      <c r="J850" s="4"/>
    </row>
    <row r="851">
      <c r="H851" s="4"/>
      <c r="I851" s="4"/>
      <c r="J851" s="4"/>
    </row>
    <row r="852">
      <c r="H852" s="4"/>
      <c r="I852" s="4"/>
      <c r="J852" s="4"/>
    </row>
    <row r="853">
      <c r="H853" s="4"/>
      <c r="I853" s="4"/>
      <c r="J853" s="4"/>
    </row>
    <row r="854">
      <c r="H854" s="4"/>
      <c r="I854" s="4"/>
      <c r="J854" s="4"/>
    </row>
    <row r="855">
      <c r="H855" s="4"/>
      <c r="I855" s="4"/>
      <c r="J855" s="4"/>
    </row>
    <row r="856">
      <c r="H856" s="4"/>
      <c r="I856" s="4"/>
      <c r="J856" s="4"/>
    </row>
    <row r="857">
      <c r="H857" s="4"/>
      <c r="I857" s="4"/>
      <c r="J857" s="4"/>
    </row>
    <row r="858">
      <c r="H858" s="4"/>
      <c r="I858" s="4"/>
      <c r="J858" s="4"/>
    </row>
    <row r="859">
      <c r="H859" s="4"/>
      <c r="I859" s="4"/>
      <c r="J859" s="4"/>
    </row>
    <row r="860">
      <c r="H860" s="4"/>
      <c r="I860" s="4"/>
      <c r="J860" s="4"/>
    </row>
    <row r="861">
      <c r="H861" s="4"/>
      <c r="I861" s="4"/>
      <c r="J861" s="4"/>
    </row>
    <row r="862">
      <c r="H862" s="4"/>
      <c r="I862" s="4"/>
      <c r="J862" s="4"/>
    </row>
    <row r="863">
      <c r="H863" s="4"/>
      <c r="I863" s="4"/>
      <c r="J863" s="4"/>
    </row>
    <row r="864">
      <c r="H864" s="4"/>
      <c r="I864" s="4"/>
      <c r="J864" s="4"/>
    </row>
    <row r="865">
      <c r="H865" s="4"/>
      <c r="I865" s="4"/>
      <c r="J865" s="4"/>
    </row>
    <row r="866">
      <c r="H866" s="4"/>
      <c r="I866" s="4"/>
      <c r="J866" s="4"/>
    </row>
    <row r="867">
      <c r="H867" s="4"/>
      <c r="I867" s="4"/>
      <c r="J867" s="4"/>
    </row>
    <row r="868">
      <c r="H868" s="4"/>
      <c r="I868" s="4"/>
      <c r="J868" s="4"/>
    </row>
    <row r="869">
      <c r="H869" s="4"/>
      <c r="I869" s="4"/>
      <c r="J869" s="4"/>
    </row>
    <row r="870">
      <c r="H870" s="4"/>
      <c r="I870" s="4"/>
      <c r="J870" s="4"/>
    </row>
    <row r="871">
      <c r="H871" s="4"/>
      <c r="I871" s="4"/>
      <c r="J871" s="4"/>
    </row>
    <row r="872">
      <c r="H872" s="4"/>
      <c r="I872" s="4"/>
      <c r="J872" s="4"/>
    </row>
    <row r="873">
      <c r="H873" s="4"/>
      <c r="I873" s="4"/>
      <c r="J873" s="4"/>
    </row>
    <row r="874">
      <c r="H874" s="4"/>
      <c r="I874" s="4"/>
      <c r="J874" s="4"/>
    </row>
    <row r="875">
      <c r="H875" s="4"/>
      <c r="I875" s="4"/>
      <c r="J875" s="4"/>
    </row>
    <row r="876">
      <c r="H876" s="4"/>
      <c r="I876" s="4"/>
      <c r="J876" s="4"/>
    </row>
    <row r="877">
      <c r="H877" s="4"/>
      <c r="I877" s="4"/>
      <c r="J877" s="4"/>
    </row>
    <row r="878">
      <c r="H878" s="4"/>
      <c r="I878" s="4"/>
      <c r="J878" s="4"/>
    </row>
    <row r="879">
      <c r="H879" s="4"/>
      <c r="I879" s="4"/>
      <c r="J879" s="4"/>
    </row>
    <row r="880">
      <c r="H880" s="4"/>
      <c r="I880" s="4"/>
      <c r="J880" s="4"/>
    </row>
    <row r="881">
      <c r="H881" s="4"/>
      <c r="I881" s="4"/>
      <c r="J881" s="4"/>
    </row>
    <row r="882">
      <c r="H882" s="4"/>
      <c r="I882" s="4"/>
      <c r="J882" s="4"/>
    </row>
    <row r="883">
      <c r="H883" s="4"/>
      <c r="I883" s="4"/>
      <c r="J883" s="4"/>
    </row>
    <row r="884">
      <c r="H884" s="4"/>
      <c r="I884" s="4"/>
      <c r="J884" s="4"/>
    </row>
    <row r="885">
      <c r="H885" s="4"/>
      <c r="I885" s="4"/>
      <c r="J885" s="4"/>
    </row>
    <row r="886">
      <c r="H886" s="4"/>
      <c r="I886" s="4"/>
      <c r="J886" s="4"/>
    </row>
    <row r="887">
      <c r="H887" s="4"/>
      <c r="I887" s="4"/>
      <c r="J887" s="4"/>
    </row>
    <row r="888">
      <c r="H888" s="4"/>
      <c r="I888" s="4"/>
      <c r="J888" s="4"/>
    </row>
    <row r="889">
      <c r="H889" s="4"/>
      <c r="I889" s="4"/>
      <c r="J889" s="4"/>
    </row>
    <row r="890">
      <c r="H890" s="4"/>
      <c r="I890" s="4"/>
      <c r="J890" s="4"/>
    </row>
    <row r="891">
      <c r="H891" s="4"/>
      <c r="I891" s="4"/>
      <c r="J891" s="4"/>
    </row>
    <row r="892">
      <c r="H892" s="4"/>
      <c r="I892" s="4"/>
      <c r="J892" s="4"/>
    </row>
    <row r="893">
      <c r="H893" s="4"/>
      <c r="I893" s="4"/>
      <c r="J893" s="4"/>
    </row>
    <row r="894">
      <c r="H894" s="4"/>
      <c r="I894" s="4"/>
      <c r="J894" s="4"/>
    </row>
    <row r="895">
      <c r="H895" s="4"/>
      <c r="I895" s="4"/>
      <c r="J895" s="4"/>
    </row>
    <row r="896">
      <c r="H896" s="4"/>
      <c r="I896" s="4"/>
      <c r="J896" s="4"/>
    </row>
    <row r="897">
      <c r="H897" s="4"/>
      <c r="I897" s="4"/>
      <c r="J897" s="4"/>
    </row>
    <row r="898">
      <c r="H898" s="4"/>
      <c r="I898" s="4"/>
      <c r="J898" s="4"/>
    </row>
    <row r="899">
      <c r="H899" s="4"/>
      <c r="I899" s="4"/>
      <c r="J899" s="4"/>
    </row>
    <row r="900">
      <c r="H900" s="4"/>
      <c r="I900" s="4"/>
      <c r="J900" s="4"/>
    </row>
    <row r="901">
      <c r="H901" s="4"/>
      <c r="I901" s="4"/>
      <c r="J901" s="4"/>
    </row>
    <row r="902">
      <c r="H902" s="4"/>
      <c r="I902" s="4"/>
      <c r="J902" s="4"/>
    </row>
    <row r="903">
      <c r="H903" s="4"/>
      <c r="I903" s="4"/>
      <c r="J903" s="4"/>
    </row>
    <row r="904">
      <c r="H904" s="4"/>
      <c r="I904" s="4"/>
      <c r="J904" s="4"/>
    </row>
    <row r="905">
      <c r="H905" s="4"/>
      <c r="I905" s="4"/>
      <c r="J905" s="4"/>
    </row>
    <row r="906">
      <c r="H906" s="4"/>
      <c r="I906" s="4"/>
      <c r="J906" s="4"/>
    </row>
    <row r="907">
      <c r="H907" s="4"/>
      <c r="I907" s="4"/>
      <c r="J907" s="4"/>
    </row>
    <row r="908">
      <c r="H908" s="4"/>
      <c r="I908" s="4"/>
      <c r="J908" s="4"/>
    </row>
    <row r="909">
      <c r="H909" s="4"/>
      <c r="I909" s="4"/>
      <c r="J909" s="4"/>
    </row>
    <row r="910">
      <c r="H910" s="4"/>
      <c r="I910" s="4"/>
      <c r="J910" s="4"/>
    </row>
    <row r="911">
      <c r="H911" s="4"/>
      <c r="I911" s="4"/>
      <c r="J911" s="4"/>
    </row>
    <row r="912">
      <c r="H912" s="4"/>
      <c r="I912" s="4"/>
      <c r="J912" s="4"/>
    </row>
    <row r="913">
      <c r="H913" s="4"/>
      <c r="I913" s="4"/>
      <c r="J913" s="4"/>
    </row>
    <row r="914">
      <c r="H914" s="4"/>
      <c r="I914" s="4"/>
      <c r="J914" s="4"/>
    </row>
    <row r="915">
      <c r="H915" s="4"/>
      <c r="I915" s="4"/>
      <c r="J915" s="4"/>
    </row>
    <row r="916">
      <c r="H916" s="4"/>
      <c r="I916" s="4"/>
      <c r="J916" s="4"/>
    </row>
    <row r="917">
      <c r="H917" s="4"/>
      <c r="I917" s="4"/>
      <c r="J917" s="4"/>
    </row>
    <row r="918">
      <c r="H918" s="4"/>
      <c r="I918" s="4"/>
      <c r="J918" s="4"/>
    </row>
    <row r="919">
      <c r="H919" s="4"/>
      <c r="I919" s="4"/>
      <c r="J919" s="4"/>
    </row>
    <row r="920">
      <c r="H920" s="4"/>
      <c r="I920" s="4"/>
      <c r="J920" s="4"/>
    </row>
    <row r="921">
      <c r="H921" s="4"/>
      <c r="I921" s="4"/>
      <c r="J921" s="4"/>
    </row>
    <row r="922">
      <c r="H922" s="4"/>
      <c r="I922" s="4"/>
      <c r="J922" s="4"/>
    </row>
    <row r="923">
      <c r="H923" s="4"/>
      <c r="I923" s="4"/>
      <c r="J923" s="4"/>
    </row>
    <row r="924">
      <c r="H924" s="4"/>
      <c r="I924" s="4"/>
      <c r="J924" s="4"/>
    </row>
    <row r="925">
      <c r="H925" s="4"/>
      <c r="I925" s="4"/>
      <c r="J925" s="4"/>
    </row>
    <row r="926">
      <c r="H926" s="4"/>
      <c r="I926" s="4"/>
      <c r="J926" s="4"/>
    </row>
    <row r="927">
      <c r="H927" s="4"/>
      <c r="I927" s="4"/>
      <c r="J927" s="4"/>
    </row>
    <row r="928">
      <c r="H928" s="4"/>
      <c r="I928" s="4"/>
      <c r="J928" s="4"/>
    </row>
    <row r="929">
      <c r="H929" s="4"/>
      <c r="I929" s="4"/>
      <c r="J929" s="4"/>
    </row>
    <row r="930">
      <c r="H930" s="4"/>
      <c r="I930" s="4"/>
      <c r="J930" s="4"/>
    </row>
    <row r="931">
      <c r="H931" s="4"/>
      <c r="I931" s="4"/>
      <c r="J931" s="4"/>
    </row>
    <row r="932">
      <c r="H932" s="4"/>
      <c r="I932" s="4"/>
      <c r="J932" s="4"/>
    </row>
    <row r="933">
      <c r="H933" s="4"/>
      <c r="I933" s="4"/>
      <c r="J933" s="4"/>
    </row>
    <row r="934">
      <c r="H934" s="4"/>
      <c r="I934" s="4"/>
      <c r="J934" s="4"/>
    </row>
    <row r="935">
      <c r="H935" s="4"/>
      <c r="I935" s="4"/>
      <c r="J935" s="4"/>
    </row>
    <row r="936">
      <c r="H936" s="4"/>
      <c r="I936" s="4"/>
      <c r="J936" s="4"/>
    </row>
    <row r="937">
      <c r="H937" s="4"/>
      <c r="I937" s="4"/>
      <c r="J937" s="4"/>
    </row>
    <row r="938">
      <c r="H938" s="4"/>
      <c r="I938" s="4"/>
      <c r="J938" s="4"/>
    </row>
    <row r="939">
      <c r="H939" s="4"/>
      <c r="I939" s="4"/>
      <c r="J939" s="4"/>
    </row>
    <row r="940">
      <c r="H940" s="4"/>
      <c r="I940" s="4"/>
      <c r="J940" s="4"/>
    </row>
    <row r="941">
      <c r="H941" s="4"/>
      <c r="I941" s="4"/>
      <c r="J941" s="4"/>
    </row>
    <row r="942">
      <c r="H942" s="4"/>
      <c r="I942" s="4"/>
      <c r="J942" s="4"/>
    </row>
    <row r="943">
      <c r="H943" s="4"/>
      <c r="I943" s="4"/>
      <c r="J943" s="4"/>
    </row>
    <row r="944">
      <c r="H944" s="4"/>
      <c r="I944" s="4"/>
      <c r="J944" s="4"/>
    </row>
    <row r="945">
      <c r="H945" s="4"/>
      <c r="I945" s="4"/>
      <c r="J945" s="4"/>
    </row>
    <row r="946">
      <c r="H946" s="4"/>
      <c r="I946" s="4"/>
      <c r="J946" s="4"/>
    </row>
    <row r="947">
      <c r="H947" s="4"/>
      <c r="I947" s="4"/>
      <c r="J947" s="4"/>
    </row>
    <row r="948">
      <c r="H948" s="4"/>
      <c r="I948" s="4"/>
      <c r="J948" s="4"/>
    </row>
    <row r="949">
      <c r="H949" s="4"/>
      <c r="I949" s="4"/>
      <c r="J949" s="4"/>
    </row>
    <row r="950">
      <c r="H950" s="4"/>
      <c r="I950" s="4"/>
      <c r="J950" s="4"/>
    </row>
    <row r="951">
      <c r="H951" s="4"/>
      <c r="I951" s="4"/>
      <c r="J951" s="4"/>
    </row>
    <row r="952">
      <c r="H952" s="4"/>
      <c r="I952" s="4"/>
      <c r="J952" s="4"/>
    </row>
    <row r="953">
      <c r="H953" s="4"/>
      <c r="I953" s="4"/>
      <c r="J953" s="4"/>
    </row>
    <row r="954">
      <c r="H954" s="4"/>
      <c r="I954" s="4"/>
      <c r="J954" s="4"/>
    </row>
    <row r="955">
      <c r="H955" s="4"/>
      <c r="I955" s="4"/>
      <c r="J955" s="4"/>
    </row>
    <row r="956">
      <c r="H956" s="4"/>
      <c r="I956" s="4"/>
      <c r="J956" s="4"/>
    </row>
    <row r="957">
      <c r="H957" s="4"/>
      <c r="I957" s="4"/>
      <c r="J957" s="4"/>
    </row>
    <row r="958">
      <c r="H958" s="4"/>
      <c r="I958" s="4"/>
      <c r="J958" s="4"/>
    </row>
    <row r="959">
      <c r="H959" s="4"/>
      <c r="I959" s="4"/>
      <c r="J959" s="4"/>
    </row>
    <row r="960">
      <c r="H960" s="4"/>
      <c r="I960" s="4"/>
      <c r="J960" s="4"/>
    </row>
    <row r="961">
      <c r="H961" s="4"/>
      <c r="I961" s="4"/>
      <c r="J961" s="4"/>
    </row>
    <row r="962">
      <c r="H962" s="4"/>
      <c r="I962" s="4"/>
      <c r="J962" s="4"/>
    </row>
    <row r="963">
      <c r="H963" s="4"/>
      <c r="I963" s="4"/>
      <c r="J963" s="4"/>
    </row>
    <row r="964">
      <c r="H964" s="4"/>
      <c r="I964" s="4"/>
      <c r="J964" s="4"/>
    </row>
    <row r="965">
      <c r="H965" s="4"/>
      <c r="I965" s="4"/>
      <c r="J965" s="4"/>
    </row>
    <row r="966">
      <c r="H966" s="4"/>
      <c r="I966" s="4"/>
      <c r="J966" s="4"/>
    </row>
    <row r="967">
      <c r="H967" s="4"/>
      <c r="I967" s="4"/>
      <c r="J967" s="4"/>
    </row>
    <row r="968">
      <c r="H968" s="4"/>
      <c r="I968" s="4"/>
      <c r="J968" s="4"/>
    </row>
    <row r="969">
      <c r="H969" s="4"/>
      <c r="I969" s="4"/>
      <c r="J969" s="4"/>
    </row>
    <row r="970">
      <c r="H970" s="4"/>
      <c r="I970" s="4"/>
      <c r="J970" s="4"/>
    </row>
    <row r="971">
      <c r="H971" s="4"/>
      <c r="I971" s="4"/>
      <c r="J971" s="4"/>
    </row>
    <row r="972">
      <c r="H972" s="4"/>
      <c r="I972" s="4"/>
      <c r="J972" s="4"/>
    </row>
    <row r="973">
      <c r="H973" s="4"/>
      <c r="I973" s="4"/>
      <c r="J973" s="4"/>
    </row>
    <row r="974">
      <c r="H974" s="4"/>
      <c r="I974" s="4"/>
      <c r="J974" s="4"/>
    </row>
    <row r="975">
      <c r="H975" s="4"/>
      <c r="I975" s="4"/>
      <c r="J975" s="4"/>
    </row>
    <row r="976">
      <c r="H976" s="4"/>
      <c r="I976" s="4"/>
      <c r="J976" s="4"/>
    </row>
    <row r="977">
      <c r="H977" s="4"/>
      <c r="I977" s="4"/>
      <c r="J977" s="4"/>
    </row>
    <row r="978">
      <c r="H978" s="4"/>
      <c r="I978" s="4"/>
      <c r="J978" s="4"/>
    </row>
    <row r="979">
      <c r="H979" s="4"/>
      <c r="I979" s="4"/>
      <c r="J979" s="4"/>
    </row>
    <row r="980">
      <c r="H980" s="4"/>
      <c r="I980" s="4"/>
      <c r="J980" s="4"/>
    </row>
    <row r="981">
      <c r="H981" s="4"/>
      <c r="I981" s="4"/>
      <c r="J981" s="4"/>
    </row>
    <row r="982">
      <c r="H982" s="4"/>
      <c r="I982" s="4"/>
      <c r="J982" s="4"/>
    </row>
    <row r="983">
      <c r="H983" s="4"/>
      <c r="I983" s="4"/>
      <c r="J983" s="4"/>
    </row>
    <row r="984">
      <c r="H984" s="4"/>
      <c r="I984" s="4"/>
      <c r="J984" s="4"/>
    </row>
    <row r="985">
      <c r="H985" s="4"/>
      <c r="I985" s="4"/>
      <c r="J985" s="4"/>
    </row>
    <row r="986">
      <c r="H986" s="4"/>
      <c r="I986" s="4"/>
      <c r="J986" s="4"/>
    </row>
    <row r="987">
      <c r="H987" s="4"/>
      <c r="I987" s="4"/>
      <c r="J987" s="4"/>
    </row>
    <row r="988">
      <c r="H988" s="4"/>
      <c r="I988" s="4"/>
      <c r="J988" s="4"/>
    </row>
    <row r="989">
      <c r="H989" s="4"/>
      <c r="I989" s="4"/>
      <c r="J989" s="4"/>
    </row>
    <row r="990">
      <c r="H990" s="4"/>
      <c r="I990" s="4"/>
      <c r="J990" s="4"/>
    </row>
    <row r="991">
      <c r="H991" s="4"/>
      <c r="I991" s="4"/>
      <c r="J991" s="4"/>
    </row>
    <row r="992">
      <c r="H992" s="4"/>
      <c r="I992" s="4"/>
      <c r="J992" s="4"/>
    </row>
    <row r="993">
      <c r="H993" s="4"/>
      <c r="I993" s="4"/>
      <c r="J993" s="4"/>
    </row>
    <row r="994">
      <c r="H994" s="4"/>
      <c r="I994" s="4"/>
      <c r="J994" s="4"/>
    </row>
    <row r="995">
      <c r="H995" s="4"/>
      <c r="I995" s="4"/>
      <c r="J995" s="4"/>
    </row>
    <row r="996">
      <c r="H996" s="4"/>
      <c r="I996" s="4"/>
      <c r="J996" s="4"/>
    </row>
    <row r="997">
      <c r="H997" s="4"/>
      <c r="I997" s="4"/>
      <c r="J997" s="4"/>
    </row>
    <row r="998">
      <c r="H998" s="4"/>
      <c r="I998" s="4"/>
      <c r="J998" s="4"/>
    </row>
    <row r="999">
      <c r="H999" s="4"/>
      <c r="I999" s="4"/>
      <c r="J999" s="4"/>
    </row>
    <row r="1000">
      <c r="H1000" s="4"/>
      <c r="I1000" s="4"/>
      <c r="J1000" s="4"/>
    </row>
    <row r="1001">
      <c r="H1001" s="4"/>
      <c r="I1001" s="4"/>
      <c r="J1001" s="4"/>
    </row>
    <row r="1002">
      <c r="H1002" s="4"/>
      <c r="I1002" s="4"/>
      <c r="J1002" s="4"/>
    </row>
    <row r="1003">
      <c r="H1003" s="4"/>
      <c r="I1003" s="4"/>
      <c r="J1003" s="4"/>
    </row>
    <row r="1004">
      <c r="H1004" s="4"/>
      <c r="I1004" s="4"/>
      <c r="J1004" s="4"/>
    </row>
    <row r="1005">
      <c r="H1005" s="4"/>
      <c r="I1005" s="4"/>
      <c r="J1005" s="4"/>
    </row>
    <row r="1006">
      <c r="H1006" s="4"/>
      <c r="I1006" s="4"/>
      <c r="J1006" s="4"/>
    </row>
    <row r="1007">
      <c r="H1007" s="4"/>
      <c r="I1007" s="4"/>
      <c r="J1007" s="4"/>
    </row>
    <row r="1008">
      <c r="H1008" s="4"/>
      <c r="I1008" s="4"/>
      <c r="J1008" s="4"/>
    </row>
    <row r="1009">
      <c r="H1009" s="4"/>
      <c r="I1009" s="4"/>
      <c r="J1009" s="4"/>
    </row>
    <row r="1010">
      <c r="H1010" s="4"/>
      <c r="I1010" s="4"/>
      <c r="J1010" s="4"/>
    </row>
    <row r="1011">
      <c r="H1011" s="4"/>
      <c r="I1011" s="4"/>
      <c r="J1011" s="4"/>
    </row>
    <row r="1012">
      <c r="H1012" s="4"/>
      <c r="I1012" s="4"/>
      <c r="J1012" s="4"/>
    </row>
    <row r="1013">
      <c r="H1013" s="4"/>
      <c r="I1013" s="4"/>
      <c r="J1013" s="4"/>
    </row>
    <row r="1014">
      <c r="H1014" s="4"/>
      <c r="I1014" s="4"/>
      <c r="J1014" s="4"/>
    </row>
    <row r="1015">
      <c r="H1015" s="4"/>
      <c r="I1015" s="4"/>
      <c r="J1015" s="4"/>
    </row>
  </sheetData>
  <dataValidations>
    <dataValidation type="custom" allowBlank="1" showDropDown="1" showInputMessage="1" showErrorMessage="1" prompt="Enter a value that satisfies the formula: =REGEXMATCH( TO_TEXT(A2), &quot;^[0-9]{4}_[A-Za-z]{3}_[A-Za-z]{3}_[0-9]{2}$&quot; )  " sqref="A2:A11 A22:A54">
      <formula1>REGEXMATCH( TO_TEXT(A2), "^[0-9]{4}_[A-Za-z]{3}_[A-Za-z]{3}_[0-9]{2}$" )  </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164</v>
      </c>
      <c r="B1" s="1" t="s">
        <v>241</v>
      </c>
      <c r="C1" s="1" t="s">
        <v>202</v>
      </c>
      <c r="D1" s="1" t="s">
        <v>204</v>
      </c>
      <c r="E1" s="1" t="s">
        <v>143</v>
      </c>
      <c r="F1" s="1" t="s">
        <v>242</v>
      </c>
      <c r="G1" s="1" t="s">
        <v>169</v>
      </c>
      <c r="H1" s="9" t="s">
        <v>170</v>
      </c>
      <c r="I1" s="9" t="s">
        <v>171</v>
      </c>
      <c r="J1" s="13" t="s">
        <v>268</v>
      </c>
      <c r="K1" s="1" t="s">
        <v>151</v>
      </c>
      <c r="L1" s="1" t="s">
        <v>159</v>
      </c>
    </row>
    <row r="2">
      <c r="A2" s="2" t="s">
        <v>10</v>
      </c>
      <c r="B2" s="2" t="s">
        <v>269</v>
      </c>
      <c r="C2" s="2" t="s">
        <v>12</v>
      </c>
      <c r="D2" s="2">
        <v>850.4</v>
      </c>
      <c r="E2" s="2">
        <v>206.8</v>
      </c>
      <c r="F2" s="2" t="s">
        <v>254</v>
      </c>
      <c r="G2" s="2">
        <v>116.0</v>
      </c>
      <c r="H2" s="2">
        <v>29.7</v>
      </c>
      <c r="I2" s="2" t="s">
        <v>209</v>
      </c>
      <c r="J2" s="2">
        <v>16.1</v>
      </c>
      <c r="K2" s="2">
        <v>107.0</v>
      </c>
    </row>
    <row r="3">
      <c r="A3" s="2" t="s">
        <v>17</v>
      </c>
      <c r="B3" s="2" t="s">
        <v>270</v>
      </c>
      <c r="C3" s="2" t="s">
        <v>18</v>
      </c>
      <c r="D3" s="2">
        <v>856.3</v>
      </c>
      <c r="E3" s="2">
        <v>220.8</v>
      </c>
      <c r="F3" s="2" t="s">
        <v>254</v>
      </c>
      <c r="G3" s="2">
        <v>116.0</v>
      </c>
      <c r="H3" s="2">
        <v>-24.0</v>
      </c>
      <c r="I3" s="2" t="s">
        <v>209</v>
      </c>
      <c r="J3" s="2">
        <v>17.5</v>
      </c>
      <c r="K3" s="2">
        <v>125.0</v>
      </c>
    </row>
    <row r="4">
      <c r="A4" s="2" t="s">
        <v>19</v>
      </c>
      <c r="B4" s="2" t="s">
        <v>269</v>
      </c>
      <c r="C4" s="2" t="s">
        <v>12</v>
      </c>
      <c r="D4" s="2" t="s">
        <v>269</v>
      </c>
      <c r="E4" s="2" t="s">
        <v>269</v>
      </c>
      <c r="F4" s="2" t="s">
        <v>254</v>
      </c>
      <c r="G4" s="2">
        <v>116.0</v>
      </c>
      <c r="H4" s="2" t="s">
        <v>269</v>
      </c>
      <c r="I4" s="2" t="s">
        <v>269</v>
      </c>
      <c r="J4" s="2" t="s">
        <v>269</v>
      </c>
    </row>
    <row r="5">
      <c r="A5" s="2" t="s">
        <v>21</v>
      </c>
      <c r="B5" s="2" t="s">
        <v>270</v>
      </c>
      <c r="C5" s="2" t="s">
        <v>18</v>
      </c>
      <c r="D5" s="2" t="s">
        <v>270</v>
      </c>
      <c r="E5" s="2" t="s">
        <v>270</v>
      </c>
      <c r="F5" s="2" t="s">
        <v>254</v>
      </c>
      <c r="G5" s="2">
        <v>116.0</v>
      </c>
      <c r="H5" s="2" t="s">
        <v>270</v>
      </c>
      <c r="I5" s="2" t="s">
        <v>270</v>
      </c>
      <c r="J5" s="2" t="s">
        <v>270</v>
      </c>
    </row>
    <row r="6">
      <c r="A6" s="2" t="s">
        <v>22</v>
      </c>
      <c r="B6" s="2" t="s">
        <v>160</v>
      </c>
      <c r="C6" s="2" t="s">
        <v>24</v>
      </c>
      <c r="F6" s="2" t="s">
        <v>254</v>
      </c>
      <c r="G6" s="2">
        <v>78.0</v>
      </c>
      <c r="H6" s="2"/>
      <c r="I6" s="2" t="s">
        <v>209</v>
      </c>
      <c r="J6" s="2"/>
      <c r="K6" s="2">
        <v>78.0</v>
      </c>
    </row>
    <row r="7">
      <c r="A7" s="2" t="s">
        <v>28</v>
      </c>
      <c r="B7" s="2" t="s">
        <v>160</v>
      </c>
      <c r="C7" s="2" t="s">
        <v>29</v>
      </c>
      <c r="F7" s="2" t="s">
        <v>254</v>
      </c>
      <c r="G7" s="2">
        <v>78.0</v>
      </c>
      <c r="I7" s="2" t="s">
        <v>209</v>
      </c>
    </row>
    <row r="8">
      <c r="A8" s="2" t="s">
        <v>30</v>
      </c>
      <c r="B8" s="2" t="s">
        <v>161</v>
      </c>
      <c r="C8" s="2" t="s">
        <v>31</v>
      </c>
      <c r="F8" s="2" t="s">
        <v>254</v>
      </c>
      <c r="G8" s="2">
        <v>78.0</v>
      </c>
      <c r="H8" s="2"/>
      <c r="I8" s="2" t="s">
        <v>209</v>
      </c>
      <c r="J8" s="2"/>
    </row>
    <row r="9">
      <c r="A9" s="2" t="s">
        <v>32</v>
      </c>
      <c r="B9" s="2" t="s">
        <v>161</v>
      </c>
      <c r="C9" s="2" t="s">
        <v>33</v>
      </c>
      <c r="F9" s="2" t="s">
        <v>254</v>
      </c>
      <c r="G9" s="2">
        <v>78.0</v>
      </c>
      <c r="I9" s="2" t="s">
        <v>209</v>
      </c>
    </row>
    <row r="10">
      <c r="A10" s="2" t="s">
        <v>34</v>
      </c>
      <c r="C10" s="2" t="s">
        <v>18</v>
      </c>
      <c r="F10" s="2" t="s">
        <v>254</v>
      </c>
      <c r="G10" s="2">
        <v>78.0</v>
      </c>
      <c r="H10" s="2"/>
      <c r="I10" s="2" t="s">
        <v>209</v>
      </c>
      <c r="J10" s="2"/>
    </row>
    <row r="11">
      <c r="A11" s="2" t="s">
        <v>35</v>
      </c>
      <c r="B11" s="2" t="s">
        <v>160</v>
      </c>
      <c r="C11" s="2" t="s">
        <v>24</v>
      </c>
      <c r="F11" s="2" t="s">
        <v>254</v>
      </c>
      <c r="G11" s="2">
        <v>78.0</v>
      </c>
      <c r="H11" s="2"/>
      <c r="I11" s="2" t="s">
        <v>209</v>
      </c>
      <c r="J11" s="2"/>
      <c r="K11" s="2">
        <v>53.0</v>
      </c>
    </row>
    <row r="12">
      <c r="A12" s="2" t="s">
        <v>37</v>
      </c>
      <c r="B12" s="2" t="s">
        <v>160</v>
      </c>
      <c r="C12" s="2" t="s">
        <v>29</v>
      </c>
      <c r="F12" s="2" t="s">
        <v>254</v>
      </c>
      <c r="G12" s="2">
        <v>78.0</v>
      </c>
      <c r="I12" s="2" t="s">
        <v>209</v>
      </c>
    </row>
    <row r="13">
      <c r="A13" s="2" t="s">
        <v>38</v>
      </c>
      <c r="B13" s="2" t="s">
        <v>161</v>
      </c>
      <c r="C13" s="2" t="s">
        <v>31</v>
      </c>
      <c r="F13" s="2" t="s">
        <v>254</v>
      </c>
      <c r="G13" s="2">
        <v>78.0</v>
      </c>
      <c r="H13" s="2"/>
      <c r="I13" s="2" t="s">
        <v>209</v>
      </c>
      <c r="J13" s="2"/>
      <c r="K13" s="2">
        <v>17.0</v>
      </c>
    </row>
    <row r="14">
      <c r="A14" s="2" t="s">
        <v>39</v>
      </c>
      <c r="B14" s="2" t="s">
        <v>161</v>
      </c>
      <c r="C14" s="2" t="s">
        <v>33</v>
      </c>
      <c r="F14" s="2" t="s">
        <v>254</v>
      </c>
      <c r="G14" s="2">
        <v>78.0</v>
      </c>
      <c r="I14" s="2" t="s">
        <v>209</v>
      </c>
    </row>
    <row r="15">
      <c r="A15" s="2" t="s">
        <v>40</v>
      </c>
      <c r="C15" s="2" t="s">
        <v>18</v>
      </c>
      <c r="F15" s="2" t="s">
        <v>254</v>
      </c>
      <c r="G15" s="2">
        <v>78.0</v>
      </c>
      <c r="H15" s="2"/>
      <c r="I15" s="2" t="s">
        <v>209</v>
      </c>
      <c r="J15" s="2"/>
      <c r="K15" s="2">
        <v>15.0</v>
      </c>
    </row>
    <row r="16">
      <c r="A16" s="2" t="s">
        <v>41</v>
      </c>
      <c r="C16" s="2" t="s">
        <v>12</v>
      </c>
      <c r="F16" s="2" t="s">
        <v>254</v>
      </c>
      <c r="G16" s="6">
        <v>80.0</v>
      </c>
      <c r="H16" s="6"/>
      <c r="I16" s="2" t="s">
        <v>209</v>
      </c>
      <c r="J16" s="6"/>
      <c r="K16" s="2">
        <v>20.0</v>
      </c>
    </row>
    <row r="17">
      <c r="A17" s="2" t="s">
        <v>44</v>
      </c>
      <c r="C17" s="2" t="s">
        <v>18</v>
      </c>
      <c r="F17" s="2" t="s">
        <v>254</v>
      </c>
      <c r="G17" s="6">
        <v>80.0</v>
      </c>
      <c r="H17" s="6"/>
      <c r="I17" s="2" t="s">
        <v>209</v>
      </c>
      <c r="J17" s="6"/>
      <c r="K17" s="2">
        <v>25.0</v>
      </c>
    </row>
    <row r="18">
      <c r="A18" s="2" t="s">
        <v>45</v>
      </c>
      <c r="C18" s="2" t="s">
        <v>12</v>
      </c>
      <c r="E18" s="2"/>
      <c r="F18" s="2" t="s">
        <v>254</v>
      </c>
      <c r="G18" s="6">
        <v>80.0</v>
      </c>
      <c r="H18" s="2">
        <v>726.6</v>
      </c>
      <c r="I18" s="2" t="s">
        <v>209</v>
      </c>
      <c r="J18" s="2" t="s">
        <v>271</v>
      </c>
      <c r="K18" s="2">
        <v>44.0</v>
      </c>
    </row>
    <row r="19">
      <c r="A19" s="2" t="s">
        <v>47</v>
      </c>
      <c r="C19" s="2" t="s">
        <v>18</v>
      </c>
      <c r="E19" s="2"/>
      <c r="F19" s="2" t="s">
        <v>254</v>
      </c>
      <c r="G19" s="6">
        <v>80.0</v>
      </c>
      <c r="H19" s="2">
        <v>323.8</v>
      </c>
      <c r="I19" s="2" t="s">
        <v>209</v>
      </c>
      <c r="J19" s="2" t="s">
        <v>272</v>
      </c>
      <c r="K19" s="2">
        <v>32.0</v>
      </c>
    </row>
    <row r="20">
      <c r="A20" s="2" t="s">
        <v>48</v>
      </c>
      <c r="C20" s="2" t="s">
        <v>12</v>
      </c>
      <c r="F20" s="2" t="s">
        <v>254</v>
      </c>
      <c r="G20" s="2">
        <v>52.0</v>
      </c>
      <c r="I20" s="2" t="s">
        <v>273</v>
      </c>
      <c r="K20" s="2">
        <v>108.0</v>
      </c>
      <c r="L20" s="2" t="s">
        <v>263</v>
      </c>
    </row>
    <row r="21">
      <c r="A21" s="2" t="s">
        <v>51</v>
      </c>
      <c r="C21" s="2" t="s">
        <v>18</v>
      </c>
      <c r="F21" s="2" t="s">
        <v>254</v>
      </c>
      <c r="G21" s="2">
        <v>52.0</v>
      </c>
      <c r="I21" s="2" t="s">
        <v>273</v>
      </c>
      <c r="K21" s="2">
        <v>104.0</v>
      </c>
      <c r="L21" s="2" t="s">
        <v>263</v>
      </c>
    </row>
    <row r="22">
      <c r="A22" s="2" t="s">
        <v>48</v>
      </c>
      <c r="C22" s="2" t="s">
        <v>12</v>
      </c>
      <c r="F22" s="2" t="s">
        <v>254</v>
      </c>
      <c r="G22" s="6">
        <v>72.0</v>
      </c>
      <c r="H22" s="2"/>
      <c r="I22" s="2" t="s">
        <v>273</v>
      </c>
      <c r="J22" s="2"/>
      <c r="K22" s="2">
        <v>71.0</v>
      </c>
      <c r="L22" s="2"/>
    </row>
    <row r="23">
      <c r="A23" s="2" t="s">
        <v>51</v>
      </c>
      <c r="C23" s="2" t="s">
        <v>18</v>
      </c>
      <c r="F23" s="2" t="s">
        <v>254</v>
      </c>
      <c r="G23" s="6">
        <v>72.0</v>
      </c>
      <c r="H23" s="2"/>
      <c r="I23" s="2" t="s">
        <v>273</v>
      </c>
      <c r="J23" s="2"/>
      <c r="K23" s="2">
        <v>71.0</v>
      </c>
      <c r="L23" s="2"/>
    </row>
    <row r="24">
      <c r="A24" s="2" t="s">
        <v>52</v>
      </c>
      <c r="C24" s="2" t="s">
        <v>12</v>
      </c>
      <c r="E24" s="2"/>
      <c r="F24" s="2" t="s">
        <v>254</v>
      </c>
      <c r="G24" s="6">
        <v>80.0</v>
      </c>
      <c r="H24" s="2">
        <v>-37.33</v>
      </c>
      <c r="I24" s="2" t="s">
        <v>209</v>
      </c>
      <c r="J24" s="2">
        <v>7.507</v>
      </c>
      <c r="K24" s="2">
        <v>1057.0</v>
      </c>
      <c r="L24" s="2" t="s">
        <v>274</v>
      </c>
    </row>
    <row r="25">
      <c r="A25" s="2" t="s">
        <v>55</v>
      </c>
      <c r="C25" s="2" t="s">
        <v>18</v>
      </c>
      <c r="E25" s="2"/>
      <c r="F25" s="2" t="s">
        <v>254</v>
      </c>
      <c r="G25" s="6">
        <v>80.0</v>
      </c>
      <c r="H25" s="2">
        <v>-9.27</v>
      </c>
      <c r="I25" s="2" t="s">
        <v>209</v>
      </c>
      <c r="J25" s="2">
        <v>8.175</v>
      </c>
      <c r="K25" s="2">
        <v>1072.0</v>
      </c>
      <c r="L25" s="2" t="s">
        <v>274</v>
      </c>
    </row>
    <row r="26">
      <c r="A26" s="2" t="s">
        <v>56</v>
      </c>
      <c r="C26" s="2" t="s">
        <v>12</v>
      </c>
      <c r="D26" s="2">
        <v>577.35</v>
      </c>
      <c r="E26" s="2">
        <v>159.72</v>
      </c>
      <c r="F26" s="2" t="s">
        <v>254</v>
      </c>
      <c r="I26" s="2" t="s">
        <v>221</v>
      </c>
      <c r="K26" s="2">
        <v>78.0</v>
      </c>
      <c r="L26" s="2" t="s">
        <v>275</v>
      </c>
    </row>
    <row r="27">
      <c r="A27" s="2" t="s">
        <v>60</v>
      </c>
      <c r="C27" s="2" t="s">
        <v>18</v>
      </c>
      <c r="D27" s="2">
        <v>613.21</v>
      </c>
      <c r="E27" s="2">
        <v>161.24</v>
      </c>
      <c r="F27" s="2" t="s">
        <v>254</v>
      </c>
      <c r="I27" s="2" t="s">
        <v>221</v>
      </c>
      <c r="K27" s="2">
        <v>89.0</v>
      </c>
      <c r="L27" s="2" t="s">
        <v>276</v>
      </c>
    </row>
    <row r="28">
      <c r="A28" s="2" t="s">
        <v>61</v>
      </c>
      <c r="C28" s="2" t="s">
        <v>12</v>
      </c>
      <c r="D28" s="2">
        <v>564.07</v>
      </c>
      <c r="E28" s="2">
        <v>161.37</v>
      </c>
      <c r="F28" s="2" t="s">
        <v>254</v>
      </c>
      <c r="G28" s="6"/>
      <c r="I28" s="2" t="s">
        <v>221</v>
      </c>
      <c r="J28" s="2"/>
      <c r="K28" s="2">
        <v>61.0</v>
      </c>
      <c r="L28" s="2" t="s">
        <v>277</v>
      </c>
    </row>
    <row r="29">
      <c r="A29" s="2" t="s">
        <v>63</v>
      </c>
      <c r="C29" s="2" t="s">
        <v>18</v>
      </c>
      <c r="D29" s="2">
        <v>594.03</v>
      </c>
      <c r="E29" s="2">
        <v>178.84</v>
      </c>
      <c r="F29" s="2" t="s">
        <v>254</v>
      </c>
      <c r="G29" s="6"/>
      <c r="I29" s="2" t="s">
        <v>221</v>
      </c>
      <c r="J29" s="2"/>
      <c r="K29" s="2">
        <v>51.0</v>
      </c>
      <c r="L29" s="2" t="s">
        <v>278</v>
      </c>
    </row>
    <row r="30">
      <c r="A30" s="2" t="s">
        <v>56</v>
      </c>
      <c r="B30" s="2" t="s">
        <v>279</v>
      </c>
      <c r="C30" s="2" t="s">
        <v>12</v>
      </c>
      <c r="F30" s="2" t="s">
        <v>254</v>
      </c>
      <c r="G30" s="6">
        <v>53.0</v>
      </c>
      <c r="H30" s="2">
        <v>353.59</v>
      </c>
      <c r="I30" s="2" t="s">
        <v>221</v>
      </c>
      <c r="J30" s="2" t="s">
        <v>280</v>
      </c>
      <c r="K30" s="2">
        <v>89.0</v>
      </c>
      <c r="L30" s="2" t="s">
        <v>281</v>
      </c>
    </row>
    <row r="31">
      <c r="A31" s="2" t="s">
        <v>60</v>
      </c>
      <c r="B31" s="2" t="s">
        <v>282</v>
      </c>
      <c r="C31" s="2" t="s">
        <v>18</v>
      </c>
      <c r="F31" s="2" t="s">
        <v>254</v>
      </c>
      <c r="G31" s="6">
        <v>53.0</v>
      </c>
      <c r="H31" s="2">
        <v>35.14</v>
      </c>
      <c r="I31" s="2" t="s">
        <v>221</v>
      </c>
      <c r="J31" s="2" t="s">
        <v>283</v>
      </c>
      <c r="K31" s="2">
        <v>85.0</v>
      </c>
      <c r="L31" s="2" t="s">
        <v>284</v>
      </c>
    </row>
    <row r="32">
      <c r="A32" s="2" t="s">
        <v>56</v>
      </c>
      <c r="B32" s="2" t="s">
        <v>279</v>
      </c>
      <c r="C32" s="2" t="s">
        <v>12</v>
      </c>
      <c r="D32" s="2"/>
      <c r="E32" s="2"/>
      <c r="F32" s="2" t="s">
        <v>254</v>
      </c>
      <c r="G32" s="2">
        <v>105.0</v>
      </c>
      <c r="H32" s="2">
        <v>294.4</v>
      </c>
      <c r="I32" s="2" t="s">
        <v>221</v>
      </c>
      <c r="J32" s="2" t="s">
        <v>285</v>
      </c>
      <c r="K32" s="2">
        <v>17.0</v>
      </c>
      <c r="L32" s="2"/>
    </row>
    <row r="33">
      <c r="A33" s="2" t="s">
        <v>60</v>
      </c>
      <c r="B33" s="2" t="s">
        <v>282</v>
      </c>
      <c r="C33" s="2" t="s">
        <v>18</v>
      </c>
      <c r="D33" s="2"/>
      <c r="E33" s="2"/>
      <c r="F33" s="2" t="s">
        <v>254</v>
      </c>
      <c r="G33" s="2">
        <v>105.0</v>
      </c>
      <c r="H33" s="2">
        <v>16.16</v>
      </c>
      <c r="I33" s="2" t="s">
        <v>221</v>
      </c>
      <c r="J33" s="2" t="s">
        <v>286</v>
      </c>
      <c r="K33" s="2">
        <v>23.0</v>
      </c>
      <c r="L33" s="2"/>
    </row>
    <row r="34">
      <c r="A34" s="2" t="s">
        <v>64</v>
      </c>
      <c r="B34" s="2"/>
      <c r="C34" s="2" t="s">
        <v>66</v>
      </c>
      <c r="D34" s="2">
        <v>551.4</v>
      </c>
      <c r="E34" s="2">
        <v>175.7</v>
      </c>
      <c r="F34" s="2" t="s">
        <v>254</v>
      </c>
      <c r="G34" s="2">
        <v>104.0</v>
      </c>
      <c r="H34" s="2">
        <v>-1.06</v>
      </c>
      <c r="I34" s="2" t="s">
        <v>287</v>
      </c>
      <c r="J34" s="2" t="s">
        <v>288</v>
      </c>
      <c r="K34" s="2">
        <v>71.0</v>
      </c>
      <c r="L34" s="2" t="s">
        <v>289</v>
      </c>
    </row>
    <row r="35">
      <c r="A35" s="2" t="s">
        <v>68</v>
      </c>
      <c r="B35" s="2"/>
      <c r="C35" s="2" t="s">
        <v>69</v>
      </c>
      <c r="D35" s="2">
        <v>557.5</v>
      </c>
      <c r="E35" s="2">
        <v>182.2</v>
      </c>
      <c r="F35" s="2" t="s">
        <v>254</v>
      </c>
      <c r="G35" s="2">
        <v>104.0</v>
      </c>
      <c r="H35" s="2">
        <v>7.55</v>
      </c>
      <c r="I35" s="2" t="s">
        <v>287</v>
      </c>
      <c r="J35" s="2" t="s">
        <v>290</v>
      </c>
      <c r="K35" s="2">
        <v>66.0</v>
      </c>
      <c r="L35" s="2" t="s">
        <v>289</v>
      </c>
    </row>
    <row r="36">
      <c r="A36" s="2" t="s">
        <v>70</v>
      </c>
      <c r="B36" s="2"/>
      <c r="C36" s="2" t="s">
        <v>18</v>
      </c>
      <c r="D36" s="2">
        <v>544.1</v>
      </c>
      <c r="E36" s="2">
        <v>163.7</v>
      </c>
      <c r="F36" s="2" t="s">
        <v>254</v>
      </c>
      <c r="G36" s="2">
        <v>104.0</v>
      </c>
      <c r="H36" s="2">
        <v>-0.85</v>
      </c>
      <c r="I36" s="2" t="s">
        <v>287</v>
      </c>
      <c r="J36" s="2" t="s">
        <v>291</v>
      </c>
      <c r="K36" s="2">
        <v>72.0</v>
      </c>
      <c r="L36" s="2" t="s">
        <v>289</v>
      </c>
    </row>
    <row r="37">
      <c r="A37" s="2" t="s">
        <v>71</v>
      </c>
      <c r="B37" s="2"/>
      <c r="C37" s="2" t="s">
        <v>72</v>
      </c>
      <c r="F37" s="2" t="s">
        <v>254</v>
      </c>
      <c r="G37" s="2">
        <v>65.0</v>
      </c>
      <c r="I37" s="2" t="s">
        <v>209</v>
      </c>
    </row>
    <row r="38">
      <c r="A38" s="2" t="s">
        <v>74</v>
      </c>
      <c r="B38" s="2"/>
      <c r="C38" s="2" t="s">
        <v>75</v>
      </c>
      <c r="F38" s="2" t="s">
        <v>254</v>
      </c>
      <c r="G38" s="2">
        <v>65.0</v>
      </c>
      <c r="I38" s="2" t="s">
        <v>209</v>
      </c>
    </row>
    <row r="39">
      <c r="A39" s="2" t="s">
        <v>76</v>
      </c>
      <c r="C39" s="2" t="s">
        <v>66</v>
      </c>
      <c r="F39" s="2" t="s">
        <v>254</v>
      </c>
      <c r="G39" s="2">
        <v>65.0</v>
      </c>
      <c r="I39" s="2" t="s">
        <v>209</v>
      </c>
    </row>
    <row r="40">
      <c r="A40" s="2" t="s">
        <v>77</v>
      </c>
      <c r="C40" s="2" t="s">
        <v>69</v>
      </c>
      <c r="F40" s="2" t="s">
        <v>254</v>
      </c>
      <c r="G40" s="2">
        <v>65.0</v>
      </c>
      <c r="I40" s="2" t="s">
        <v>209</v>
      </c>
    </row>
    <row r="41">
      <c r="A41" s="2" t="s">
        <v>78</v>
      </c>
      <c r="C41" s="2" t="s">
        <v>18</v>
      </c>
      <c r="F41" s="2" t="s">
        <v>254</v>
      </c>
      <c r="G41" s="2">
        <v>65.0</v>
      </c>
      <c r="I41" s="2" t="s">
        <v>209</v>
      </c>
    </row>
    <row r="42">
      <c r="A42" s="3" t="s">
        <v>79</v>
      </c>
      <c r="C42" s="2" t="s">
        <v>12</v>
      </c>
      <c r="F42" s="2" t="s">
        <v>254</v>
      </c>
    </row>
    <row r="43">
      <c r="A43" s="3" t="s">
        <v>82</v>
      </c>
      <c r="C43" s="2" t="s">
        <v>18</v>
      </c>
      <c r="F43" s="2" t="s">
        <v>254</v>
      </c>
    </row>
    <row r="44">
      <c r="A44" s="2" t="s">
        <v>83</v>
      </c>
      <c r="C44" s="2" t="s">
        <v>72</v>
      </c>
      <c r="F44" s="2" t="s">
        <v>254</v>
      </c>
    </row>
    <row r="45">
      <c r="A45" s="2" t="s">
        <v>85</v>
      </c>
      <c r="C45" s="2" t="s">
        <v>75</v>
      </c>
      <c r="F45" s="2" t="s">
        <v>254</v>
      </c>
    </row>
    <row r="46">
      <c r="A46" s="2" t="s">
        <v>86</v>
      </c>
      <c r="C46" s="2" t="s">
        <v>29</v>
      </c>
      <c r="F46" s="2" t="s">
        <v>254</v>
      </c>
    </row>
    <row r="47">
      <c r="A47" s="2" t="s">
        <v>87</v>
      </c>
      <c r="C47" s="2" t="s">
        <v>33</v>
      </c>
      <c r="F47" s="2" t="s">
        <v>254</v>
      </c>
    </row>
    <row r="48">
      <c r="A48" s="2" t="s">
        <v>88</v>
      </c>
      <c r="C48" s="2" t="s">
        <v>89</v>
      </c>
      <c r="F48" s="2" t="s">
        <v>254</v>
      </c>
    </row>
  </sheetData>
  <dataValidations>
    <dataValidation type="custom" allowBlank="1" showDropDown="1" showInputMessage="1" showErrorMessage="1" prompt="Enter a value that satisfies the formula: =REGEXMATCH( TO_TEXT(A2), &quot;^[0-9]{4}_[A-Za-z]{3}_[A-Za-z]{3}_[0-9]{2}$&quot; )  " sqref="A2:A5 A16:A48">
      <formula1>REGEXMATCH( TO_TEXT(A2), "^[0-9]{4}_[A-Za-z]{3}_[A-Za-z]{3}_[0-9]{2}$" )  </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241</v>
      </c>
      <c r="C1" s="1" t="s">
        <v>202</v>
      </c>
      <c r="D1" s="1" t="s">
        <v>204</v>
      </c>
      <c r="E1" s="1" t="s">
        <v>143</v>
      </c>
      <c r="F1" s="1" t="s">
        <v>242</v>
      </c>
      <c r="G1" s="1" t="s">
        <v>169</v>
      </c>
      <c r="H1" s="9" t="s">
        <v>170</v>
      </c>
      <c r="I1" s="9" t="s">
        <v>171</v>
      </c>
      <c r="J1" s="13" t="s">
        <v>268</v>
      </c>
      <c r="K1" s="1" t="s">
        <v>151</v>
      </c>
      <c r="L1" s="1" t="s">
        <v>159</v>
      </c>
    </row>
    <row r="2">
      <c r="A2" s="2" t="s">
        <v>10</v>
      </c>
      <c r="B2" s="2" t="s">
        <v>269</v>
      </c>
      <c r="C2" s="2" t="s">
        <v>12</v>
      </c>
      <c r="D2" s="2">
        <v>31.9</v>
      </c>
      <c r="E2" s="2">
        <v>13.2</v>
      </c>
      <c r="F2" s="2" t="s">
        <v>254</v>
      </c>
      <c r="G2" s="2">
        <v>116.0</v>
      </c>
      <c r="H2" s="2">
        <v>-23.3</v>
      </c>
      <c r="I2" s="2" t="s">
        <v>292</v>
      </c>
      <c r="J2" s="2" t="s">
        <v>293</v>
      </c>
      <c r="K2" s="2">
        <v>159.0</v>
      </c>
    </row>
    <row r="3">
      <c r="A3" s="2" t="s">
        <v>17</v>
      </c>
      <c r="B3" s="2" t="s">
        <v>270</v>
      </c>
      <c r="C3" s="2" t="s">
        <v>18</v>
      </c>
      <c r="D3" s="2">
        <v>32.5</v>
      </c>
      <c r="E3" s="2">
        <v>13.7</v>
      </c>
      <c r="F3" s="2" t="s">
        <v>254</v>
      </c>
      <c r="G3" s="2">
        <v>116.0</v>
      </c>
      <c r="H3" s="2">
        <v>0.7</v>
      </c>
      <c r="I3" s="2" t="s">
        <v>292</v>
      </c>
      <c r="J3" s="2" t="s">
        <v>294</v>
      </c>
      <c r="K3" s="2">
        <v>155.0</v>
      </c>
    </row>
    <row r="4">
      <c r="A4" s="2" t="s">
        <v>22</v>
      </c>
      <c r="B4" s="2" t="s">
        <v>295</v>
      </c>
      <c r="C4" s="2" t="s">
        <v>24</v>
      </c>
      <c r="D4" s="2">
        <v>32.7</v>
      </c>
      <c r="E4" s="2">
        <v>10.9</v>
      </c>
      <c r="F4" s="2" t="s">
        <v>254</v>
      </c>
      <c r="G4" s="2">
        <v>78.0</v>
      </c>
      <c r="H4" s="2">
        <v>-1.5</v>
      </c>
      <c r="I4" s="2" t="s">
        <v>209</v>
      </c>
      <c r="J4" s="2" t="s">
        <v>296</v>
      </c>
      <c r="K4" s="2">
        <v>48.0</v>
      </c>
    </row>
    <row r="5">
      <c r="A5" s="2" t="s">
        <v>28</v>
      </c>
      <c r="B5" s="2" t="s">
        <v>295</v>
      </c>
      <c r="C5" s="2" t="s">
        <v>29</v>
      </c>
      <c r="D5" s="2" t="s">
        <v>295</v>
      </c>
      <c r="E5" s="2" t="s">
        <v>295</v>
      </c>
      <c r="F5" s="2" t="s">
        <v>254</v>
      </c>
      <c r="G5" s="2">
        <v>78.0</v>
      </c>
      <c r="H5" s="2" t="s">
        <v>295</v>
      </c>
      <c r="I5" s="2" t="s">
        <v>209</v>
      </c>
      <c r="J5" s="2" t="s">
        <v>295</v>
      </c>
      <c r="K5" s="2" t="s">
        <v>295</v>
      </c>
    </row>
    <row r="6">
      <c r="A6" s="2" t="s">
        <v>30</v>
      </c>
      <c r="B6" s="2" t="s">
        <v>297</v>
      </c>
      <c r="C6" s="2" t="s">
        <v>31</v>
      </c>
      <c r="D6" s="2">
        <v>32.9</v>
      </c>
      <c r="E6" s="2">
        <v>11.6</v>
      </c>
      <c r="F6" s="2" t="s">
        <v>254</v>
      </c>
      <c r="G6" s="2">
        <v>78.0</v>
      </c>
      <c r="H6" s="2">
        <v>-4.1</v>
      </c>
      <c r="I6" s="2" t="s">
        <v>209</v>
      </c>
      <c r="J6" s="2" t="s">
        <v>298</v>
      </c>
      <c r="K6" s="2">
        <v>54.0</v>
      </c>
    </row>
    <row r="7">
      <c r="A7" s="2" t="s">
        <v>32</v>
      </c>
      <c r="B7" s="2" t="s">
        <v>297</v>
      </c>
      <c r="C7" s="2" t="s">
        <v>33</v>
      </c>
      <c r="D7" s="2" t="s">
        <v>297</v>
      </c>
      <c r="E7" s="2" t="s">
        <v>297</v>
      </c>
      <c r="F7" s="2" t="s">
        <v>254</v>
      </c>
      <c r="G7" s="2">
        <v>78.0</v>
      </c>
      <c r="H7" s="2" t="s">
        <v>297</v>
      </c>
      <c r="I7" s="2" t="s">
        <v>209</v>
      </c>
      <c r="J7" s="2" t="s">
        <v>297</v>
      </c>
    </row>
    <row r="8">
      <c r="A8" s="2" t="s">
        <v>34</v>
      </c>
      <c r="C8" s="2" t="s">
        <v>18</v>
      </c>
      <c r="D8" s="2">
        <v>34.0</v>
      </c>
      <c r="E8" s="2">
        <v>14.5</v>
      </c>
      <c r="F8" s="2" t="s">
        <v>254</v>
      </c>
      <c r="G8" s="2">
        <v>78.0</v>
      </c>
      <c r="H8" s="2">
        <v>-0.3</v>
      </c>
      <c r="I8" s="2" t="s">
        <v>209</v>
      </c>
      <c r="J8" s="2" t="s">
        <v>299</v>
      </c>
      <c r="K8" s="2">
        <v>53.0</v>
      </c>
    </row>
    <row r="9">
      <c r="A9" s="2" t="s">
        <v>35</v>
      </c>
      <c r="B9" s="2" t="s">
        <v>295</v>
      </c>
      <c r="C9" s="2" t="s">
        <v>24</v>
      </c>
      <c r="D9" s="2">
        <v>35.8</v>
      </c>
      <c r="E9" s="2">
        <v>11.9</v>
      </c>
      <c r="F9" s="2" t="s">
        <v>254</v>
      </c>
      <c r="G9" s="2">
        <v>78.0</v>
      </c>
      <c r="H9" s="2">
        <v>-2.4</v>
      </c>
      <c r="I9" s="2" t="s">
        <v>209</v>
      </c>
      <c r="J9" s="2" t="s">
        <v>300</v>
      </c>
      <c r="K9" s="2">
        <v>36.0</v>
      </c>
    </row>
    <row r="10">
      <c r="A10" s="2" t="s">
        <v>37</v>
      </c>
      <c r="B10" s="2" t="s">
        <v>295</v>
      </c>
      <c r="C10" s="2" t="s">
        <v>29</v>
      </c>
      <c r="D10" s="2" t="s">
        <v>295</v>
      </c>
      <c r="E10" s="2" t="s">
        <v>295</v>
      </c>
      <c r="F10" s="2" t="s">
        <v>254</v>
      </c>
      <c r="G10" s="2">
        <v>78.0</v>
      </c>
      <c r="H10" s="2" t="s">
        <v>295</v>
      </c>
      <c r="I10" s="2" t="s">
        <v>209</v>
      </c>
      <c r="J10" s="2" t="s">
        <v>295</v>
      </c>
      <c r="K10" s="2" t="s">
        <v>295</v>
      </c>
    </row>
    <row r="11">
      <c r="A11" s="2" t="s">
        <v>38</v>
      </c>
      <c r="B11" s="2" t="s">
        <v>297</v>
      </c>
      <c r="C11" s="2" t="s">
        <v>31</v>
      </c>
      <c r="D11" s="2">
        <v>34.0</v>
      </c>
      <c r="E11" s="2">
        <v>12.4</v>
      </c>
      <c r="F11" s="2" t="s">
        <v>254</v>
      </c>
      <c r="G11" s="2">
        <v>78.0</v>
      </c>
      <c r="H11" s="2">
        <v>-3.3</v>
      </c>
      <c r="I11" s="2" t="s">
        <v>209</v>
      </c>
      <c r="J11" s="2" t="s">
        <v>301</v>
      </c>
      <c r="K11" s="2">
        <v>36.0</v>
      </c>
    </row>
    <row r="12">
      <c r="A12" s="2" t="s">
        <v>39</v>
      </c>
      <c r="B12" s="2" t="s">
        <v>297</v>
      </c>
      <c r="C12" s="2" t="s">
        <v>33</v>
      </c>
      <c r="D12" s="2" t="s">
        <v>297</v>
      </c>
      <c r="E12" s="2" t="s">
        <v>297</v>
      </c>
      <c r="F12" s="2" t="s">
        <v>254</v>
      </c>
      <c r="G12" s="2">
        <v>78.0</v>
      </c>
      <c r="H12" s="2" t="s">
        <v>297</v>
      </c>
      <c r="I12" s="2" t="s">
        <v>209</v>
      </c>
      <c r="J12" s="2" t="s">
        <v>297</v>
      </c>
      <c r="K12" s="2" t="s">
        <v>297</v>
      </c>
    </row>
    <row r="13">
      <c r="A13" s="2" t="s">
        <v>40</v>
      </c>
      <c r="C13" s="2" t="s">
        <v>18</v>
      </c>
      <c r="D13" s="2">
        <v>33.2</v>
      </c>
      <c r="E13" s="2">
        <v>11.0</v>
      </c>
      <c r="F13" s="2" t="s">
        <v>254</v>
      </c>
      <c r="G13" s="2">
        <v>78.0</v>
      </c>
      <c r="H13" s="2">
        <v>-0.2</v>
      </c>
      <c r="I13" s="2" t="s">
        <v>209</v>
      </c>
      <c r="J13" s="2" t="s">
        <v>302</v>
      </c>
      <c r="K13" s="2">
        <v>37.0</v>
      </c>
    </row>
    <row r="14">
      <c r="A14" s="2" t="s">
        <v>41</v>
      </c>
      <c r="C14" s="2" t="s">
        <v>12</v>
      </c>
      <c r="F14" s="2" t="s">
        <v>254</v>
      </c>
      <c r="G14" s="6"/>
      <c r="I14" s="2" t="s">
        <v>209</v>
      </c>
      <c r="K14" s="2">
        <v>88.0</v>
      </c>
    </row>
    <row r="15">
      <c r="A15" s="2" t="s">
        <v>44</v>
      </c>
      <c r="C15" s="2" t="s">
        <v>18</v>
      </c>
      <c r="F15" s="2" t="s">
        <v>254</v>
      </c>
      <c r="G15" s="6"/>
      <c r="I15" s="2" t="s">
        <v>209</v>
      </c>
      <c r="K15" s="2">
        <v>97.0</v>
      </c>
    </row>
    <row r="16">
      <c r="A16" s="2" t="s">
        <v>45</v>
      </c>
      <c r="C16" s="2" t="s">
        <v>12</v>
      </c>
      <c r="E16" s="2"/>
      <c r="F16" s="2" t="s">
        <v>254</v>
      </c>
      <c r="G16" s="6"/>
      <c r="I16" s="2" t="s">
        <v>209</v>
      </c>
    </row>
    <row r="17">
      <c r="A17" s="2" t="s">
        <v>47</v>
      </c>
      <c r="C17" s="2" t="s">
        <v>18</v>
      </c>
      <c r="E17" s="2"/>
      <c r="F17" s="2" t="s">
        <v>254</v>
      </c>
      <c r="G17" s="6"/>
      <c r="I17" s="2" t="s">
        <v>209</v>
      </c>
    </row>
    <row r="18">
      <c r="A18" s="2" t="s">
        <v>48</v>
      </c>
      <c r="C18" s="2" t="s">
        <v>12</v>
      </c>
      <c r="E18" s="2"/>
      <c r="F18" s="2" t="s">
        <v>254</v>
      </c>
      <c r="G18" s="6"/>
      <c r="I18" s="2" t="s">
        <v>221</v>
      </c>
    </row>
    <row r="19">
      <c r="A19" s="2" t="s">
        <v>51</v>
      </c>
      <c r="C19" s="2" t="s">
        <v>18</v>
      </c>
      <c r="E19" s="2"/>
      <c r="F19" s="2" t="s">
        <v>254</v>
      </c>
      <c r="G19" s="6"/>
      <c r="I19" s="2" t="s">
        <v>221</v>
      </c>
    </row>
    <row r="20">
      <c r="A20" s="2" t="s">
        <v>52</v>
      </c>
      <c r="C20" s="2" t="s">
        <v>12</v>
      </c>
      <c r="E20" s="2"/>
      <c r="F20" s="2" t="s">
        <v>254</v>
      </c>
      <c r="G20" s="6"/>
      <c r="I20" s="2" t="s">
        <v>209</v>
      </c>
    </row>
    <row r="21">
      <c r="A21" s="2" t="s">
        <v>55</v>
      </c>
      <c r="C21" s="2" t="s">
        <v>18</v>
      </c>
      <c r="E21" s="2"/>
      <c r="F21" s="2" t="s">
        <v>254</v>
      </c>
      <c r="G21" s="6"/>
      <c r="I21" s="2" t="s">
        <v>209</v>
      </c>
    </row>
    <row r="22">
      <c r="A22" s="2" t="s">
        <v>56</v>
      </c>
      <c r="C22" s="2" t="s">
        <v>12</v>
      </c>
      <c r="D22" s="2">
        <v>32.03</v>
      </c>
      <c r="E22" s="2">
        <v>14.49</v>
      </c>
      <c r="F22" s="2" t="s">
        <v>254</v>
      </c>
      <c r="G22" s="2">
        <v>53.0</v>
      </c>
      <c r="H22" s="2">
        <v>-0.63</v>
      </c>
      <c r="I22" s="2" t="s">
        <v>221</v>
      </c>
      <c r="J22" s="2" t="s">
        <v>303</v>
      </c>
      <c r="K22" s="2">
        <v>78.0</v>
      </c>
      <c r="L22" s="2" t="s">
        <v>275</v>
      </c>
    </row>
    <row r="23">
      <c r="A23" s="2" t="s">
        <v>60</v>
      </c>
      <c r="C23" s="2" t="s">
        <v>18</v>
      </c>
      <c r="D23" s="2">
        <v>36.09</v>
      </c>
      <c r="E23" s="2">
        <v>16.09</v>
      </c>
      <c r="F23" s="2" t="s">
        <v>254</v>
      </c>
      <c r="G23" s="2">
        <v>53.0</v>
      </c>
      <c r="H23" s="2">
        <v>0.46</v>
      </c>
      <c r="I23" s="2" t="s">
        <v>221</v>
      </c>
      <c r="J23" s="2" t="s">
        <v>304</v>
      </c>
      <c r="K23" s="2">
        <v>89.0</v>
      </c>
      <c r="L23" s="2" t="s">
        <v>276</v>
      </c>
    </row>
    <row r="24">
      <c r="A24" s="2" t="s">
        <v>61</v>
      </c>
      <c r="C24" s="2" t="s">
        <v>12</v>
      </c>
      <c r="D24" s="2">
        <v>37.6</v>
      </c>
      <c r="E24" s="2">
        <v>15.49</v>
      </c>
      <c r="F24" s="2" t="s">
        <v>254</v>
      </c>
      <c r="G24" s="2">
        <v>53.0</v>
      </c>
      <c r="H24" s="2">
        <v>-1.5</v>
      </c>
      <c r="I24" s="2" t="s">
        <v>221</v>
      </c>
      <c r="J24" s="2" t="s">
        <v>305</v>
      </c>
      <c r="K24" s="2">
        <v>61.0</v>
      </c>
      <c r="L24" s="2" t="s">
        <v>277</v>
      </c>
    </row>
    <row r="25">
      <c r="A25" s="2" t="s">
        <v>63</v>
      </c>
      <c r="C25" s="2" t="s">
        <v>18</v>
      </c>
      <c r="D25" s="2">
        <v>32.97</v>
      </c>
      <c r="E25" s="2">
        <v>21.93</v>
      </c>
      <c r="F25" s="2" t="s">
        <v>254</v>
      </c>
      <c r="G25" s="2">
        <v>53.0</v>
      </c>
      <c r="H25" s="2">
        <v>2.32</v>
      </c>
      <c r="I25" s="2" t="s">
        <v>221</v>
      </c>
      <c r="J25" s="2" t="s">
        <v>306</v>
      </c>
      <c r="K25" s="2">
        <v>50.0</v>
      </c>
      <c r="L25" s="2" t="s">
        <v>278</v>
      </c>
    </row>
    <row r="26">
      <c r="A26" s="2" t="s">
        <v>56</v>
      </c>
      <c r="C26" s="2" t="s">
        <v>12</v>
      </c>
      <c r="D26" s="2">
        <v>32.03</v>
      </c>
      <c r="E26" s="2">
        <v>14.49</v>
      </c>
      <c r="F26" s="2" t="s">
        <v>254</v>
      </c>
      <c r="G26" s="2">
        <v>105.0</v>
      </c>
      <c r="H26" s="2">
        <v>-1.28</v>
      </c>
      <c r="I26" s="2" t="s">
        <v>221</v>
      </c>
      <c r="J26" s="2" t="s">
        <v>307</v>
      </c>
      <c r="K26" s="2">
        <v>17.0</v>
      </c>
    </row>
    <row r="27">
      <c r="A27" s="2" t="s">
        <v>60</v>
      </c>
      <c r="C27" s="2" t="s">
        <v>18</v>
      </c>
      <c r="D27" s="2">
        <v>36.09</v>
      </c>
      <c r="E27" s="2">
        <v>16.09</v>
      </c>
      <c r="F27" s="2" t="s">
        <v>254</v>
      </c>
      <c r="G27" s="2">
        <v>105.0</v>
      </c>
      <c r="H27" s="2">
        <v>0.0</v>
      </c>
      <c r="I27" s="2" t="s">
        <v>221</v>
      </c>
      <c r="J27" s="2" t="s">
        <v>308</v>
      </c>
      <c r="K27" s="2">
        <v>23.0</v>
      </c>
    </row>
    <row r="28">
      <c r="A28" s="2" t="s">
        <v>64</v>
      </c>
      <c r="B28" s="2"/>
      <c r="C28" s="2" t="s">
        <v>66</v>
      </c>
      <c r="D28" s="2">
        <v>86.3</v>
      </c>
      <c r="E28" s="2">
        <v>39.5</v>
      </c>
      <c r="F28" s="2" t="s">
        <v>254</v>
      </c>
      <c r="G28" s="2">
        <v>104.0</v>
      </c>
      <c r="H28" s="2">
        <v>-15.22</v>
      </c>
      <c r="I28" s="2" t="s">
        <v>309</v>
      </c>
      <c r="J28" s="2" t="s">
        <v>310</v>
      </c>
      <c r="K28" s="2">
        <v>271.0</v>
      </c>
      <c r="L28" s="2" t="s">
        <v>311</v>
      </c>
    </row>
    <row r="29">
      <c r="A29" s="2" t="s">
        <v>68</v>
      </c>
      <c r="B29" s="2"/>
      <c r="C29" s="2" t="s">
        <v>69</v>
      </c>
      <c r="D29" s="2">
        <v>82.5</v>
      </c>
      <c r="E29" s="2">
        <v>34.2</v>
      </c>
      <c r="F29" s="2" t="s">
        <v>254</v>
      </c>
      <c r="G29" s="2">
        <v>104.0</v>
      </c>
      <c r="H29" s="2">
        <v>-24.01</v>
      </c>
      <c r="I29" s="2" t="s">
        <v>309</v>
      </c>
      <c r="J29" s="2" t="s">
        <v>312</v>
      </c>
      <c r="K29" s="2">
        <v>260.0</v>
      </c>
      <c r="L29" s="2" t="s">
        <v>313</v>
      </c>
    </row>
    <row r="30">
      <c r="A30" s="2" t="s">
        <v>70</v>
      </c>
      <c r="B30" s="2"/>
      <c r="C30" s="2" t="s">
        <v>18</v>
      </c>
      <c r="D30" s="2">
        <v>84.0</v>
      </c>
      <c r="E30" s="2">
        <v>31.4</v>
      </c>
      <c r="F30" s="2" t="s">
        <v>254</v>
      </c>
      <c r="G30" s="2">
        <v>104.0</v>
      </c>
      <c r="H30" s="2">
        <v>-4.72</v>
      </c>
      <c r="I30" s="2" t="s">
        <v>309</v>
      </c>
      <c r="J30" s="2" t="s">
        <v>314</v>
      </c>
      <c r="K30" s="2">
        <v>266.0</v>
      </c>
      <c r="L30" s="2" t="s">
        <v>315</v>
      </c>
    </row>
    <row r="31">
      <c r="A31" s="2" t="s">
        <v>71</v>
      </c>
      <c r="B31" s="2"/>
      <c r="C31" s="2" t="s">
        <v>72</v>
      </c>
      <c r="D31" s="2">
        <v>108.95</v>
      </c>
      <c r="E31" s="2">
        <v>38.678</v>
      </c>
      <c r="F31" s="2" t="s">
        <v>254</v>
      </c>
      <c r="G31" s="2">
        <v>71.0</v>
      </c>
      <c r="H31" s="2">
        <v>-5.8</v>
      </c>
      <c r="I31" s="2" t="s">
        <v>209</v>
      </c>
      <c r="J31" s="2">
        <v>1.492</v>
      </c>
      <c r="K31" s="2">
        <v>127.0</v>
      </c>
      <c r="L31" s="2" t="s">
        <v>316</v>
      </c>
    </row>
    <row r="32">
      <c r="A32" s="2" t="s">
        <v>74</v>
      </c>
      <c r="B32" s="2"/>
      <c r="C32" s="2" t="s">
        <v>75</v>
      </c>
      <c r="D32" s="2">
        <v>119.95</v>
      </c>
      <c r="E32" s="2">
        <v>50.698</v>
      </c>
      <c r="F32" s="2" t="s">
        <v>254</v>
      </c>
      <c r="G32" s="2">
        <v>71.0</v>
      </c>
      <c r="H32" s="2">
        <v>0.95</v>
      </c>
      <c r="I32" s="2" t="s">
        <v>209</v>
      </c>
      <c r="J32" s="2">
        <v>1.828</v>
      </c>
      <c r="K32" s="2">
        <v>85.0</v>
      </c>
      <c r="L32" s="2" t="s">
        <v>316</v>
      </c>
    </row>
    <row r="33">
      <c r="A33" s="2" t="s">
        <v>76</v>
      </c>
      <c r="C33" s="2" t="s">
        <v>66</v>
      </c>
      <c r="D33" s="2">
        <v>88.54</v>
      </c>
      <c r="E33" s="2">
        <v>44.599</v>
      </c>
      <c r="F33" s="2" t="s">
        <v>254</v>
      </c>
      <c r="G33" s="2">
        <v>71.0</v>
      </c>
      <c r="H33" s="2">
        <v>-1.93</v>
      </c>
      <c r="I33" s="2" t="s">
        <v>209</v>
      </c>
      <c r="J33" s="2">
        <v>1.911</v>
      </c>
      <c r="K33" s="2">
        <v>47.0</v>
      </c>
      <c r="L33" s="2" t="s">
        <v>316</v>
      </c>
    </row>
    <row r="34">
      <c r="A34" s="2" t="s">
        <v>77</v>
      </c>
      <c r="C34" s="2" t="s">
        <v>69</v>
      </c>
      <c r="D34" s="2">
        <v>105.33</v>
      </c>
      <c r="E34" s="2">
        <v>54.482</v>
      </c>
      <c r="F34" s="2" t="s">
        <v>254</v>
      </c>
      <c r="G34" s="2">
        <v>71.0</v>
      </c>
      <c r="H34" s="2">
        <v>-8.17</v>
      </c>
      <c r="I34" s="2" t="s">
        <v>209</v>
      </c>
      <c r="J34" s="2">
        <v>1.803</v>
      </c>
      <c r="K34" s="2">
        <v>54.0</v>
      </c>
      <c r="L34" s="2" t="s">
        <v>316</v>
      </c>
    </row>
    <row r="35">
      <c r="A35" s="2" t="s">
        <v>78</v>
      </c>
      <c r="C35" s="2" t="s">
        <v>18</v>
      </c>
      <c r="D35" s="2">
        <v>104.17</v>
      </c>
      <c r="E35" s="2">
        <v>47.809</v>
      </c>
      <c r="F35" s="2" t="s">
        <v>254</v>
      </c>
      <c r="G35" s="2">
        <v>71.0</v>
      </c>
      <c r="H35" s="2">
        <v>-1.98</v>
      </c>
      <c r="I35" s="2" t="s">
        <v>209</v>
      </c>
      <c r="J35" s="2">
        <v>1.478</v>
      </c>
      <c r="K35" s="2">
        <v>77.0</v>
      </c>
      <c r="L35" s="2" t="s">
        <v>316</v>
      </c>
    </row>
    <row r="36">
      <c r="A36" s="3" t="s">
        <v>79</v>
      </c>
      <c r="C36" s="2" t="s">
        <v>12</v>
      </c>
      <c r="F36" s="2" t="s">
        <v>254</v>
      </c>
      <c r="I36" s="2" t="s">
        <v>209</v>
      </c>
    </row>
    <row r="37">
      <c r="A37" s="3" t="s">
        <v>82</v>
      </c>
      <c r="C37" s="2" t="s">
        <v>18</v>
      </c>
      <c r="F37" s="2" t="s">
        <v>254</v>
      </c>
      <c r="I37" s="2" t="s">
        <v>209</v>
      </c>
    </row>
    <row r="38">
      <c r="A38" s="2" t="s">
        <v>83</v>
      </c>
      <c r="C38" s="2" t="s">
        <v>72</v>
      </c>
      <c r="F38" s="2" t="s">
        <v>254</v>
      </c>
      <c r="G38" s="2">
        <v>71.0</v>
      </c>
      <c r="I38" s="2" t="s">
        <v>209</v>
      </c>
    </row>
    <row r="39">
      <c r="A39" s="2" t="s">
        <v>85</v>
      </c>
      <c r="C39" s="2" t="s">
        <v>75</v>
      </c>
      <c r="F39" s="2" t="s">
        <v>254</v>
      </c>
      <c r="G39" s="2">
        <v>71.0</v>
      </c>
      <c r="I39" s="2" t="s">
        <v>209</v>
      </c>
    </row>
    <row r="40">
      <c r="A40" s="2" t="s">
        <v>86</v>
      </c>
      <c r="C40" s="2" t="s">
        <v>29</v>
      </c>
      <c r="F40" s="2" t="s">
        <v>254</v>
      </c>
      <c r="G40" s="2">
        <v>71.0</v>
      </c>
      <c r="I40" s="2" t="s">
        <v>209</v>
      </c>
    </row>
    <row r="41">
      <c r="A41" s="2" t="s">
        <v>87</v>
      </c>
      <c r="C41" s="2" t="s">
        <v>33</v>
      </c>
      <c r="F41" s="2" t="s">
        <v>254</v>
      </c>
      <c r="G41" s="2">
        <v>71.0</v>
      </c>
      <c r="I41" s="2" t="s">
        <v>209</v>
      </c>
    </row>
    <row r="42">
      <c r="A42" s="2" t="s">
        <v>88</v>
      </c>
      <c r="C42" s="2" t="s">
        <v>89</v>
      </c>
      <c r="F42" s="2" t="s">
        <v>254</v>
      </c>
      <c r="G42" s="2">
        <v>71.0</v>
      </c>
      <c r="I42" s="2" t="s">
        <v>209</v>
      </c>
    </row>
  </sheetData>
  <dataValidations>
    <dataValidation type="custom" allowBlank="1" showDropDown="1" showInputMessage="1" showErrorMessage="1" prompt="Enter a value that satisfies the formula: =REGEXMATCH( TO_TEXT(A2), &quot;^[0-9]{4}_[A-Za-z]{3}_[A-Za-z]{3}_[0-9]{2}$&quot; )  " sqref="A2:A3 A14:A42">
      <formula1>REGEXMATCH( TO_TEXT(A2), "^[0-9]{4}_[A-Za-z]{3}_[A-Za-z]{3}_[0-9]{2}$" )  </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241</v>
      </c>
      <c r="C1" s="1" t="s">
        <v>202</v>
      </c>
      <c r="D1" s="1" t="s">
        <v>204</v>
      </c>
      <c r="E1" s="1" t="s">
        <v>143</v>
      </c>
      <c r="F1" s="1" t="s">
        <v>242</v>
      </c>
      <c r="G1" s="1" t="s">
        <v>169</v>
      </c>
      <c r="H1" s="9" t="s">
        <v>170</v>
      </c>
      <c r="I1" s="9" t="s">
        <v>171</v>
      </c>
      <c r="J1" s="13" t="s">
        <v>172</v>
      </c>
      <c r="K1" s="1" t="s">
        <v>151</v>
      </c>
      <c r="L1" s="1" t="s">
        <v>159</v>
      </c>
    </row>
    <row r="2">
      <c r="A2" s="2" t="s">
        <v>10</v>
      </c>
      <c r="B2" s="2" t="s">
        <v>269</v>
      </c>
      <c r="C2" s="2" t="s">
        <v>12</v>
      </c>
      <c r="D2" s="2">
        <v>9965.0</v>
      </c>
      <c r="E2" s="2">
        <v>3183.0</v>
      </c>
      <c r="F2" s="2" t="s">
        <v>254</v>
      </c>
      <c r="G2" s="2">
        <v>116.0</v>
      </c>
      <c r="H2" s="2">
        <v>2470.0</v>
      </c>
      <c r="I2" s="2" t="s">
        <v>221</v>
      </c>
      <c r="J2" s="2">
        <v>143.0</v>
      </c>
      <c r="K2" s="2">
        <v>808.0</v>
      </c>
      <c r="L2" s="2" t="s">
        <v>317</v>
      </c>
    </row>
    <row r="3">
      <c r="A3" s="2" t="s">
        <v>17</v>
      </c>
      <c r="B3" s="2" t="s">
        <v>270</v>
      </c>
      <c r="C3" s="2" t="s">
        <v>18</v>
      </c>
      <c r="D3" s="2">
        <v>9946.0</v>
      </c>
      <c r="E3" s="2">
        <v>3241.0</v>
      </c>
      <c r="F3" s="2" t="s">
        <v>254</v>
      </c>
      <c r="G3" s="2">
        <v>116.0</v>
      </c>
      <c r="H3" s="2">
        <v>2187.0</v>
      </c>
      <c r="I3" s="2" t="s">
        <v>221</v>
      </c>
      <c r="J3" s="2">
        <v>149.0</v>
      </c>
      <c r="K3" s="2">
        <v>797.0</v>
      </c>
      <c r="L3" s="2" t="s">
        <v>318</v>
      </c>
    </row>
    <row r="4">
      <c r="A4" s="2" t="s">
        <v>19</v>
      </c>
      <c r="B4" s="2" t="s">
        <v>269</v>
      </c>
      <c r="C4" s="2" t="s">
        <v>12</v>
      </c>
      <c r="D4" s="2" t="s">
        <v>269</v>
      </c>
      <c r="E4" s="2" t="s">
        <v>269</v>
      </c>
      <c r="F4" s="2" t="s">
        <v>254</v>
      </c>
      <c r="G4" s="2">
        <v>116.0</v>
      </c>
      <c r="H4" s="2" t="s">
        <v>269</v>
      </c>
      <c r="I4" s="2" t="s">
        <v>221</v>
      </c>
      <c r="J4" s="2" t="s">
        <v>269</v>
      </c>
      <c r="K4" s="2" t="s">
        <v>269</v>
      </c>
    </row>
    <row r="5">
      <c r="A5" s="2" t="s">
        <v>21</v>
      </c>
      <c r="B5" s="2" t="s">
        <v>270</v>
      </c>
      <c r="C5" s="2" t="s">
        <v>18</v>
      </c>
      <c r="D5" s="2" t="s">
        <v>270</v>
      </c>
      <c r="E5" s="2" t="s">
        <v>270</v>
      </c>
      <c r="F5" s="2" t="s">
        <v>254</v>
      </c>
      <c r="G5" s="2">
        <v>116.0</v>
      </c>
      <c r="H5" s="2" t="s">
        <v>270</v>
      </c>
      <c r="I5" s="2" t="s">
        <v>221</v>
      </c>
      <c r="J5" s="2" t="s">
        <v>270</v>
      </c>
      <c r="K5" s="2" t="s">
        <v>270</v>
      </c>
    </row>
    <row r="6">
      <c r="A6" s="2" t="s">
        <v>22</v>
      </c>
      <c r="B6" s="2" t="s">
        <v>160</v>
      </c>
      <c r="C6" s="2" t="s">
        <v>24</v>
      </c>
      <c r="F6" s="2" t="s">
        <v>254</v>
      </c>
    </row>
    <row r="7">
      <c r="A7" s="2" t="s">
        <v>28</v>
      </c>
      <c r="B7" s="2" t="s">
        <v>160</v>
      </c>
      <c r="C7" s="2" t="s">
        <v>29</v>
      </c>
      <c r="F7" s="2" t="s">
        <v>254</v>
      </c>
    </row>
    <row r="8">
      <c r="A8" s="2" t="s">
        <v>30</v>
      </c>
      <c r="B8" s="2" t="s">
        <v>161</v>
      </c>
      <c r="C8" s="2" t="s">
        <v>31</v>
      </c>
      <c r="F8" s="2" t="s">
        <v>254</v>
      </c>
    </row>
    <row r="9">
      <c r="A9" s="2" t="s">
        <v>32</v>
      </c>
      <c r="B9" s="2" t="s">
        <v>161</v>
      </c>
      <c r="C9" s="2" t="s">
        <v>33</v>
      </c>
      <c r="F9" s="2" t="s">
        <v>254</v>
      </c>
    </row>
    <row r="10">
      <c r="A10" s="2" t="s">
        <v>34</v>
      </c>
      <c r="C10" s="2" t="s">
        <v>18</v>
      </c>
      <c r="F10" s="2" t="s">
        <v>254</v>
      </c>
    </row>
    <row r="11">
      <c r="A11" s="2" t="s">
        <v>35</v>
      </c>
      <c r="B11" s="2" t="s">
        <v>160</v>
      </c>
      <c r="C11" s="2" t="s">
        <v>24</v>
      </c>
      <c r="F11" s="2" t="s">
        <v>254</v>
      </c>
    </row>
    <row r="12">
      <c r="A12" s="2" t="s">
        <v>37</v>
      </c>
      <c r="B12" s="2" t="s">
        <v>160</v>
      </c>
      <c r="C12" s="2" t="s">
        <v>29</v>
      </c>
      <c r="F12" s="2" t="s">
        <v>254</v>
      </c>
    </row>
    <row r="13">
      <c r="A13" s="2" t="s">
        <v>38</v>
      </c>
      <c r="B13" s="2" t="s">
        <v>161</v>
      </c>
      <c r="C13" s="2" t="s">
        <v>31</v>
      </c>
      <c r="F13" s="2" t="s">
        <v>254</v>
      </c>
    </row>
    <row r="14">
      <c r="A14" s="2" t="s">
        <v>39</v>
      </c>
      <c r="B14" s="2" t="s">
        <v>161</v>
      </c>
      <c r="C14" s="2" t="s">
        <v>33</v>
      </c>
      <c r="F14" s="2" t="s">
        <v>254</v>
      </c>
    </row>
    <row r="15">
      <c r="A15" s="2" t="s">
        <v>40</v>
      </c>
      <c r="C15" s="2" t="s">
        <v>18</v>
      </c>
      <c r="F15" s="2" t="s">
        <v>254</v>
      </c>
    </row>
    <row r="16">
      <c r="A16" s="2" t="s">
        <v>41</v>
      </c>
      <c r="C16" s="2" t="s">
        <v>12</v>
      </c>
      <c r="E16" s="2"/>
      <c r="F16" s="2" t="s">
        <v>254</v>
      </c>
      <c r="G16" s="6"/>
      <c r="I16" s="2" t="s">
        <v>209</v>
      </c>
      <c r="K16" s="2"/>
    </row>
    <row r="17">
      <c r="A17" s="2" t="s">
        <v>44</v>
      </c>
      <c r="C17" s="2" t="s">
        <v>18</v>
      </c>
      <c r="E17" s="2"/>
      <c r="F17" s="2" t="s">
        <v>254</v>
      </c>
      <c r="G17" s="6"/>
      <c r="I17" s="2" t="s">
        <v>209</v>
      </c>
      <c r="K17" s="2"/>
    </row>
    <row r="18">
      <c r="A18" s="2" t="s">
        <v>45</v>
      </c>
      <c r="C18" s="2" t="s">
        <v>12</v>
      </c>
      <c r="E18" s="2"/>
      <c r="F18" s="2" t="s">
        <v>254</v>
      </c>
      <c r="G18" s="6"/>
      <c r="I18" s="2" t="s">
        <v>209</v>
      </c>
      <c r="K18" s="2"/>
    </row>
    <row r="19">
      <c r="A19" s="2" t="s">
        <v>47</v>
      </c>
      <c r="C19" s="2" t="s">
        <v>18</v>
      </c>
      <c r="E19" s="2"/>
      <c r="F19" s="2" t="s">
        <v>254</v>
      </c>
      <c r="G19" s="6"/>
      <c r="I19" s="2" t="s">
        <v>209</v>
      </c>
      <c r="K19" s="2"/>
    </row>
    <row r="20">
      <c r="A20" s="2" t="s">
        <v>48</v>
      </c>
      <c r="C20" s="2" t="s">
        <v>12</v>
      </c>
      <c r="E20" s="2"/>
      <c r="F20" s="2" t="s">
        <v>254</v>
      </c>
      <c r="G20" s="6"/>
      <c r="I20" s="2" t="s">
        <v>221</v>
      </c>
      <c r="K20" s="2"/>
    </row>
    <row r="21">
      <c r="A21" s="2" t="s">
        <v>51</v>
      </c>
      <c r="C21" s="2" t="s">
        <v>18</v>
      </c>
      <c r="E21" s="2"/>
      <c r="F21" s="2" t="s">
        <v>254</v>
      </c>
      <c r="G21" s="6"/>
      <c r="I21" s="2" t="s">
        <v>221</v>
      </c>
      <c r="K21" s="2"/>
    </row>
    <row r="22">
      <c r="A22" s="2" t="s">
        <v>52</v>
      </c>
      <c r="C22" s="2" t="s">
        <v>12</v>
      </c>
      <c r="E22" s="2"/>
      <c r="F22" s="2" t="s">
        <v>254</v>
      </c>
      <c r="G22" s="6"/>
    </row>
    <row r="23">
      <c r="A23" s="2" t="s">
        <v>55</v>
      </c>
      <c r="C23" s="2" t="s">
        <v>18</v>
      </c>
      <c r="E23" s="2"/>
      <c r="F23" s="2" t="s">
        <v>254</v>
      </c>
      <c r="G23" s="6"/>
    </row>
    <row r="24">
      <c r="A24" s="2" t="s">
        <v>56</v>
      </c>
      <c r="C24" s="2" t="s">
        <v>12</v>
      </c>
      <c r="F24" s="2" t="s">
        <v>319</v>
      </c>
      <c r="G24" s="2">
        <v>25.0</v>
      </c>
      <c r="H24" s="2">
        <v>46.6</v>
      </c>
      <c r="I24" s="2" t="s">
        <v>320</v>
      </c>
      <c r="J24" s="2">
        <v>6.91</v>
      </c>
      <c r="K24" s="2">
        <v>40.0</v>
      </c>
      <c r="L24" s="2" t="s">
        <v>321</v>
      </c>
    </row>
    <row r="25">
      <c r="A25" s="2" t="s">
        <v>56</v>
      </c>
      <c r="C25" s="2" t="s">
        <v>12</v>
      </c>
      <c r="F25" s="2" t="s">
        <v>319</v>
      </c>
      <c r="G25" s="2">
        <v>77.0</v>
      </c>
      <c r="H25" s="2">
        <v>0.81</v>
      </c>
      <c r="I25" s="2" t="s">
        <v>320</v>
      </c>
      <c r="J25" s="2">
        <v>3.04</v>
      </c>
      <c r="K25" s="2">
        <v>40.0</v>
      </c>
      <c r="L25" s="2" t="s">
        <v>321</v>
      </c>
    </row>
    <row r="26">
      <c r="A26" s="2" t="s">
        <v>56</v>
      </c>
      <c r="C26" s="2" t="s">
        <v>12</v>
      </c>
      <c r="F26" s="2" t="s">
        <v>319</v>
      </c>
      <c r="G26" s="2">
        <v>105.0</v>
      </c>
      <c r="H26" s="2">
        <v>0.73</v>
      </c>
      <c r="I26" s="2" t="s">
        <v>320</v>
      </c>
      <c r="J26" s="2">
        <v>2.2</v>
      </c>
      <c r="K26" s="2">
        <v>38.0</v>
      </c>
      <c r="L26" s="2" t="s">
        <v>321</v>
      </c>
    </row>
    <row r="27">
      <c r="A27" s="2" t="s">
        <v>60</v>
      </c>
      <c r="C27" s="2" t="s">
        <v>18</v>
      </c>
      <c r="F27" s="2" t="s">
        <v>319</v>
      </c>
      <c r="G27" s="2">
        <v>25.0</v>
      </c>
      <c r="H27" s="2">
        <v>48.8</v>
      </c>
      <c r="I27" s="2" t="s">
        <v>320</v>
      </c>
      <c r="J27" s="2">
        <v>10.7</v>
      </c>
      <c r="K27" s="2">
        <v>40.0</v>
      </c>
      <c r="L27" s="2" t="s">
        <v>321</v>
      </c>
    </row>
    <row r="28">
      <c r="A28" s="2" t="s">
        <v>60</v>
      </c>
      <c r="C28" s="2" t="s">
        <v>18</v>
      </c>
      <c r="F28" s="2" t="s">
        <v>319</v>
      </c>
      <c r="G28" s="2">
        <v>77.0</v>
      </c>
      <c r="H28" s="2">
        <v>47.5</v>
      </c>
      <c r="I28" s="2" t="s">
        <v>320</v>
      </c>
      <c r="J28" s="2">
        <v>12.2</v>
      </c>
      <c r="K28" s="2">
        <v>40.0</v>
      </c>
      <c r="L28" s="2" t="s">
        <v>321</v>
      </c>
    </row>
    <row r="29">
      <c r="A29" s="2" t="s">
        <v>60</v>
      </c>
      <c r="C29" s="2" t="s">
        <v>18</v>
      </c>
      <c r="F29" s="2" t="s">
        <v>319</v>
      </c>
      <c r="G29" s="2">
        <v>105.0</v>
      </c>
      <c r="H29" s="2">
        <v>48.6</v>
      </c>
      <c r="I29" s="2" t="s">
        <v>320</v>
      </c>
      <c r="J29" s="2">
        <v>14.0</v>
      </c>
      <c r="K29" s="2">
        <v>38.0</v>
      </c>
      <c r="L29" s="2" t="s">
        <v>321</v>
      </c>
    </row>
    <row r="30">
      <c r="A30" s="2" t="s">
        <v>61</v>
      </c>
      <c r="C30" s="2" t="s">
        <v>12</v>
      </c>
      <c r="D30" s="2"/>
      <c r="E30" s="2"/>
      <c r="F30" s="2" t="s">
        <v>319</v>
      </c>
      <c r="G30" s="2">
        <v>105.0</v>
      </c>
      <c r="H30" s="2">
        <v>0.73</v>
      </c>
      <c r="I30" s="2" t="s">
        <v>320</v>
      </c>
      <c r="J30" s="2">
        <v>2.2</v>
      </c>
      <c r="K30" s="2">
        <v>91.0</v>
      </c>
      <c r="L30" s="2" t="s">
        <v>321</v>
      </c>
    </row>
    <row r="31">
      <c r="A31" s="2" t="s">
        <v>63</v>
      </c>
      <c r="C31" s="2" t="s">
        <v>18</v>
      </c>
      <c r="D31" s="2"/>
      <c r="E31" s="2"/>
      <c r="F31" s="2" t="s">
        <v>319</v>
      </c>
      <c r="G31" s="2">
        <v>105.0</v>
      </c>
      <c r="H31" s="2">
        <v>0.78</v>
      </c>
      <c r="I31" s="2" t="s">
        <v>320</v>
      </c>
      <c r="J31" s="2">
        <v>1.82</v>
      </c>
      <c r="K31" s="2">
        <v>85.0</v>
      </c>
      <c r="L31" s="2" t="s">
        <v>321</v>
      </c>
    </row>
    <row r="32">
      <c r="A32" s="2" t="s">
        <v>64</v>
      </c>
      <c r="B32" s="2"/>
      <c r="C32" s="2" t="s">
        <v>66</v>
      </c>
    </row>
    <row r="33">
      <c r="A33" s="2" t="s">
        <v>68</v>
      </c>
      <c r="B33" s="2"/>
      <c r="C33" s="2" t="s">
        <v>69</v>
      </c>
    </row>
    <row r="34">
      <c r="A34" s="2" t="s">
        <v>70</v>
      </c>
      <c r="B34" s="2"/>
      <c r="C34" s="2" t="s">
        <v>18</v>
      </c>
    </row>
    <row r="35">
      <c r="A35" s="2" t="s">
        <v>71</v>
      </c>
      <c r="B35" s="2"/>
      <c r="C35" s="2" t="s">
        <v>72</v>
      </c>
    </row>
    <row r="36">
      <c r="A36" s="2" t="s">
        <v>74</v>
      </c>
      <c r="B36" s="2"/>
      <c r="C36" s="2" t="s">
        <v>75</v>
      </c>
    </row>
    <row r="37">
      <c r="A37" s="2" t="s">
        <v>76</v>
      </c>
      <c r="C37" s="2" t="s">
        <v>66</v>
      </c>
    </row>
    <row r="38">
      <c r="A38" s="2" t="s">
        <v>77</v>
      </c>
      <c r="C38" s="2" t="s">
        <v>69</v>
      </c>
    </row>
    <row r="39">
      <c r="A39" s="2" t="s">
        <v>78</v>
      </c>
      <c r="C39" s="2" t="s">
        <v>18</v>
      </c>
    </row>
    <row r="40">
      <c r="A40" s="3" t="s">
        <v>79</v>
      </c>
      <c r="C40" s="2" t="s">
        <v>12</v>
      </c>
    </row>
    <row r="41">
      <c r="A41" s="3" t="s">
        <v>82</v>
      </c>
      <c r="C41" s="2" t="s">
        <v>18</v>
      </c>
    </row>
    <row r="42">
      <c r="A42" s="2" t="s">
        <v>83</v>
      </c>
      <c r="C42" s="2" t="s">
        <v>72</v>
      </c>
      <c r="I42" s="2" t="s">
        <v>221</v>
      </c>
    </row>
    <row r="43">
      <c r="A43" s="2" t="s">
        <v>85</v>
      </c>
      <c r="C43" s="2" t="s">
        <v>75</v>
      </c>
      <c r="I43" s="2" t="s">
        <v>221</v>
      </c>
    </row>
    <row r="44">
      <c r="A44" s="2" t="s">
        <v>86</v>
      </c>
      <c r="C44" s="2" t="s">
        <v>29</v>
      </c>
      <c r="I44" s="2" t="s">
        <v>221</v>
      </c>
    </row>
    <row r="45">
      <c r="A45" s="2" t="s">
        <v>87</v>
      </c>
      <c r="C45" s="2" t="s">
        <v>33</v>
      </c>
      <c r="I45" s="2" t="s">
        <v>221</v>
      </c>
    </row>
    <row r="46">
      <c r="A46" s="2" t="s">
        <v>88</v>
      </c>
      <c r="C46" s="2" t="s">
        <v>89</v>
      </c>
      <c r="I46" s="2" t="s">
        <v>221</v>
      </c>
    </row>
  </sheetData>
  <dataValidations>
    <dataValidation type="custom" allowBlank="1" showDropDown="1" showInputMessage="1" showErrorMessage="1" prompt="Enter a value that satisfies the formula: =REGEXMATCH( TO_TEXT(A2), &quot;^[0-9]{4}_[A-Za-z]{3}_[A-Za-z]{3}_[0-9]{2}$&quot; )  " sqref="A2:A5 A16:A46">
      <formula1>REGEXMATCH( TO_TEXT(A2), "^[0-9]{4}_[A-Za-z]{3}_[A-Za-z]{3}_[0-9]{2}$" )  </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241</v>
      </c>
      <c r="C1" s="1" t="s">
        <v>202</v>
      </c>
      <c r="D1" s="1" t="s">
        <v>204</v>
      </c>
      <c r="E1" s="1" t="s">
        <v>143</v>
      </c>
      <c r="F1" s="1" t="s">
        <v>242</v>
      </c>
      <c r="G1" s="1" t="s">
        <v>169</v>
      </c>
      <c r="H1" s="9" t="s">
        <v>170</v>
      </c>
      <c r="I1" s="9" t="s">
        <v>171</v>
      </c>
      <c r="J1" s="13" t="s">
        <v>172</v>
      </c>
      <c r="K1" s="1" t="s">
        <v>151</v>
      </c>
      <c r="L1" s="1" t="s">
        <v>159</v>
      </c>
    </row>
    <row r="2">
      <c r="A2" s="2" t="s">
        <v>10</v>
      </c>
      <c r="B2" s="2" t="s">
        <v>269</v>
      </c>
      <c r="C2" s="2" t="s">
        <v>12</v>
      </c>
      <c r="D2" s="2">
        <v>208.5</v>
      </c>
      <c r="E2" s="2">
        <v>60.5</v>
      </c>
      <c r="F2" s="2" t="s">
        <v>254</v>
      </c>
      <c r="G2" s="2">
        <v>116.0</v>
      </c>
      <c r="H2" s="2">
        <v>10.5</v>
      </c>
      <c r="I2" s="2" t="s">
        <v>221</v>
      </c>
      <c r="J2" s="2">
        <v>0.9</v>
      </c>
      <c r="K2" s="2">
        <v>997.0</v>
      </c>
      <c r="L2" s="2" t="s">
        <v>322</v>
      </c>
    </row>
    <row r="3">
      <c r="A3" s="2" t="s">
        <v>17</v>
      </c>
      <c r="B3" s="2" t="s">
        <v>270</v>
      </c>
      <c r="C3" s="2" t="s">
        <v>18</v>
      </c>
      <c r="D3" s="2">
        <v>206.1</v>
      </c>
      <c r="E3" s="2">
        <v>60.6</v>
      </c>
      <c r="F3" s="2" t="s">
        <v>254</v>
      </c>
      <c r="G3" s="2">
        <v>116.0</v>
      </c>
      <c r="H3" s="2">
        <v>3.8</v>
      </c>
      <c r="I3" s="2" t="s">
        <v>221</v>
      </c>
      <c r="J3" s="2">
        <v>0.9</v>
      </c>
      <c r="K3" s="2">
        <v>962.0</v>
      </c>
      <c r="L3" s="2" t="s">
        <v>323</v>
      </c>
    </row>
    <row r="4">
      <c r="A4" s="2" t="s">
        <v>19</v>
      </c>
      <c r="B4" s="2" t="s">
        <v>269</v>
      </c>
      <c r="C4" s="2" t="s">
        <v>12</v>
      </c>
      <c r="D4" s="2" t="s">
        <v>269</v>
      </c>
      <c r="E4" s="2" t="s">
        <v>269</v>
      </c>
      <c r="F4" s="2" t="s">
        <v>254</v>
      </c>
      <c r="G4" s="2">
        <v>116.0</v>
      </c>
      <c r="H4" s="2" t="s">
        <v>269</v>
      </c>
      <c r="I4" s="2" t="s">
        <v>221</v>
      </c>
      <c r="J4" s="2" t="s">
        <v>269</v>
      </c>
      <c r="K4" s="2" t="s">
        <v>269</v>
      </c>
    </row>
    <row r="5">
      <c r="A5" s="2" t="s">
        <v>21</v>
      </c>
      <c r="B5" s="2" t="s">
        <v>270</v>
      </c>
      <c r="C5" s="2" t="s">
        <v>18</v>
      </c>
      <c r="D5" s="2" t="s">
        <v>270</v>
      </c>
      <c r="E5" s="2" t="s">
        <v>270</v>
      </c>
      <c r="F5" s="2" t="s">
        <v>254</v>
      </c>
      <c r="G5" s="2">
        <v>116.0</v>
      </c>
      <c r="H5" s="2" t="s">
        <v>270</v>
      </c>
      <c r="I5" s="2" t="s">
        <v>221</v>
      </c>
      <c r="J5" s="2" t="s">
        <v>270</v>
      </c>
      <c r="K5" s="2" t="s">
        <v>270</v>
      </c>
    </row>
    <row r="6">
      <c r="A6" s="2" t="s">
        <v>22</v>
      </c>
      <c r="B6" s="2" t="s">
        <v>160</v>
      </c>
      <c r="C6" s="2" t="s">
        <v>24</v>
      </c>
    </row>
    <row r="7">
      <c r="A7" s="2" t="s">
        <v>28</v>
      </c>
      <c r="B7" s="2" t="s">
        <v>160</v>
      </c>
      <c r="C7" s="2" t="s">
        <v>29</v>
      </c>
    </row>
    <row r="8">
      <c r="A8" s="2" t="s">
        <v>30</v>
      </c>
      <c r="B8" s="2" t="s">
        <v>161</v>
      </c>
      <c r="C8" s="2" t="s">
        <v>31</v>
      </c>
    </row>
    <row r="9">
      <c r="A9" s="2" t="s">
        <v>32</v>
      </c>
      <c r="B9" s="2" t="s">
        <v>161</v>
      </c>
      <c r="C9" s="2" t="s">
        <v>33</v>
      </c>
    </row>
    <row r="10">
      <c r="A10" s="2" t="s">
        <v>34</v>
      </c>
      <c r="C10" s="2" t="s">
        <v>18</v>
      </c>
    </row>
    <row r="11">
      <c r="A11" s="2" t="s">
        <v>35</v>
      </c>
      <c r="B11" s="2" t="s">
        <v>160</v>
      </c>
      <c r="C11" s="2" t="s">
        <v>24</v>
      </c>
    </row>
    <row r="12">
      <c r="A12" s="2" t="s">
        <v>37</v>
      </c>
      <c r="B12" s="2" t="s">
        <v>160</v>
      </c>
      <c r="C12" s="2" t="s">
        <v>29</v>
      </c>
    </row>
    <row r="13">
      <c r="A13" s="2" t="s">
        <v>38</v>
      </c>
      <c r="B13" s="2" t="s">
        <v>161</v>
      </c>
      <c r="C13" s="2" t="s">
        <v>31</v>
      </c>
    </row>
    <row r="14">
      <c r="A14" s="2" t="s">
        <v>39</v>
      </c>
      <c r="B14" s="2" t="s">
        <v>161</v>
      </c>
      <c r="C14" s="2" t="s">
        <v>33</v>
      </c>
    </row>
    <row r="15">
      <c r="A15" s="2" t="s">
        <v>40</v>
      </c>
      <c r="C15" s="2" t="s">
        <v>18</v>
      </c>
    </row>
    <row r="16">
      <c r="A16" s="2" t="s">
        <v>41</v>
      </c>
      <c r="C16" s="2" t="s">
        <v>12</v>
      </c>
      <c r="D16" s="2"/>
      <c r="E16" s="2"/>
      <c r="F16" s="2" t="s">
        <v>254</v>
      </c>
      <c r="G16" s="2">
        <v>80.0</v>
      </c>
      <c r="H16" s="2"/>
      <c r="I16" s="2" t="s">
        <v>209</v>
      </c>
      <c r="J16" s="2"/>
      <c r="K16" s="2">
        <v>20.0</v>
      </c>
      <c r="L16" s="2"/>
    </row>
    <row r="17">
      <c r="A17" s="2" t="s">
        <v>44</v>
      </c>
      <c r="C17" s="2" t="s">
        <v>18</v>
      </c>
      <c r="D17" s="2"/>
      <c r="E17" s="2"/>
      <c r="F17" s="2" t="s">
        <v>254</v>
      </c>
      <c r="G17" s="2">
        <v>80.0</v>
      </c>
      <c r="H17" s="2"/>
      <c r="I17" s="2" t="s">
        <v>209</v>
      </c>
      <c r="J17" s="2"/>
      <c r="K17" s="2">
        <v>25.0</v>
      </c>
      <c r="L17" s="2"/>
    </row>
    <row r="18">
      <c r="A18" s="2" t="s">
        <v>45</v>
      </c>
      <c r="C18" s="2" t="s">
        <v>12</v>
      </c>
      <c r="D18" s="2"/>
      <c r="E18" s="2"/>
      <c r="F18" s="2" t="s">
        <v>254</v>
      </c>
      <c r="G18" s="2">
        <v>80.0</v>
      </c>
      <c r="H18" s="2"/>
      <c r="I18" s="2" t="s">
        <v>209</v>
      </c>
      <c r="J18" s="2"/>
      <c r="K18" s="2">
        <v>44.0</v>
      </c>
      <c r="L18" s="2"/>
    </row>
    <row r="19">
      <c r="A19" s="2" t="s">
        <v>47</v>
      </c>
      <c r="C19" s="2" t="s">
        <v>18</v>
      </c>
      <c r="D19" s="2"/>
      <c r="E19" s="2"/>
      <c r="F19" s="2" t="s">
        <v>254</v>
      </c>
      <c r="G19" s="2">
        <v>80.0</v>
      </c>
      <c r="H19" s="2"/>
      <c r="I19" s="2" t="s">
        <v>209</v>
      </c>
      <c r="J19" s="2"/>
      <c r="K19" s="2">
        <v>32.0</v>
      </c>
      <c r="L19" s="2"/>
    </row>
    <row r="20">
      <c r="A20" s="2" t="s">
        <v>48</v>
      </c>
      <c r="C20" s="2" t="s">
        <v>12</v>
      </c>
      <c r="D20" s="2"/>
      <c r="E20" s="2"/>
      <c r="F20" s="2" t="s">
        <v>254</v>
      </c>
      <c r="G20" s="2"/>
      <c r="H20" s="2"/>
      <c r="I20" s="2" t="s">
        <v>221</v>
      </c>
      <c r="J20" s="2"/>
      <c r="K20" s="2"/>
      <c r="L20" s="2"/>
    </row>
    <row r="21">
      <c r="A21" s="2" t="s">
        <v>51</v>
      </c>
      <c r="C21" s="2" t="s">
        <v>18</v>
      </c>
      <c r="D21" s="2"/>
      <c r="E21" s="2"/>
      <c r="F21" s="2" t="s">
        <v>254</v>
      </c>
      <c r="G21" s="2"/>
      <c r="H21" s="2"/>
      <c r="I21" s="2" t="s">
        <v>221</v>
      </c>
      <c r="J21" s="2"/>
      <c r="K21" s="2"/>
      <c r="L21" s="2"/>
    </row>
    <row r="22">
      <c r="A22" s="2" t="s">
        <v>52</v>
      </c>
      <c r="C22" s="2" t="s">
        <v>12</v>
      </c>
      <c r="D22" s="2"/>
      <c r="E22" s="2"/>
      <c r="F22" s="2" t="s">
        <v>254</v>
      </c>
      <c r="G22" s="2"/>
      <c r="H22" s="2"/>
      <c r="I22" s="2"/>
      <c r="J22" s="2"/>
      <c r="K22" s="2"/>
      <c r="L22" s="2"/>
    </row>
    <row r="23">
      <c r="A23" s="2" t="s">
        <v>55</v>
      </c>
      <c r="C23" s="2" t="s">
        <v>18</v>
      </c>
      <c r="D23" s="2"/>
      <c r="E23" s="2"/>
      <c r="F23" s="2" t="s">
        <v>254</v>
      </c>
      <c r="G23" s="2"/>
      <c r="H23" s="2"/>
      <c r="I23" s="2"/>
      <c r="J23" s="2"/>
      <c r="K23" s="2"/>
      <c r="L23" s="2"/>
    </row>
    <row r="24">
      <c r="A24" s="2" t="s">
        <v>56</v>
      </c>
      <c r="B24" s="2" t="s">
        <v>279</v>
      </c>
      <c r="C24" s="2" t="s">
        <v>12</v>
      </c>
      <c r="F24" s="2" t="s">
        <v>319</v>
      </c>
      <c r="G24" s="2">
        <v>25.0</v>
      </c>
      <c r="H24" s="2">
        <v>2.94</v>
      </c>
      <c r="I24" s="2" t="s">
        <v>221</v>
      </c>
      <c r="J24" s="2">
        <v>0.473</v>
      </c>
      <c r="K24" s="2">
        <v>805.0</v>
      </c>
      <c r="L24" s="2" t="s">
        <v>263</v>
      </c>
    </row>
    <row r="25">
      <c r="A25" s="2" t="s">
        <v>60</v>
      </c>
      <c r="B25" s="2" t="s">
        <v>282</v>
      </c>
      <c r="C25" s="2" t="s">
        <v>18</v>
      </c>
      <c r="F25" s="2" t="s">
        <v>319</v>
      </c>
      <c r="G25" s="2">
        <v>25.0</v>
      </c>
      <c r="H25" s="2">
        <v>2.87</v>
      </c>
      <c r="I25" s="2" t="s">
        <v>221</v>
      </c>
      <c r="J25" s="2">
        <v>0.589</v>
      </c>
      <c r="K25" s="2">
        <v>797.0</v>
      </c>
      <c r="L25" s="2" t="s">
        <v>263</v>
      </c>
    </row>
    <row r="26">
      <c r="A26" s="2" t="s">
        <v>60</v>
      </c>
      <c r="B26" s="2" t="s">
        <v>282</v>
      </c>
      <c r="C26" s="2" t="s">
        <v>18</v>
      </c>
      <c r="F26" s="2" t="s">
        <v>319</v>
      </c>
      <c r="G26" s="2">
        <v>77.0</v>
      </c>
      <c r="H26" s="2">
        <v>2.79</v>
      </c>
      <c r="I26" s="2" t="s">
        <v>221</v>
      </c>
      <c r="J26" s="2">
        <v>0.68</v>
      </c>
    </row>
    <row r="27">
      <c r="A27" s="2" t="s">
        <v>60</v>
      </c>
      <c r="B27" s="2" t="s">
        <v>282</v>
      </c>
      <c r="C27" s="2" t="s">
        <v>18</v>
      </c>
      <c r="F27" s="2" t="s">
        <v>319</v>
      </c>
      <c r="G27" s="2">
        <v>105.0</v>
      </c>
      <c r="H27" s="2">
        <v>2.87</v>
      </c>
      <c r="I27" s="2" t="s">
        <v>221</v>
      </c>
      <c r="J27" s="2">
        <v>0.818</v>
      </c>
      <c r="K27" s="2">
        <v>86.0</v>
      </c>
    </row>
    <row r="28">
      <c r="A28" s="2" t="s">
        <v>61</v>
      </c>
      <c r="B28" s="2" t="s">
        <v>279</v>
      </c>
      <c r="C28" s="2" t="s">
        <v>12</v>
      </c>
      <c r="F28" s="2" t="s">
        <v>319</v>
      </c>
      <c r="G28" s="2">
        <v>25.0</v>
      </c>
      <c r="H28" s="2" t="s">
        <v>279</v>
      </c>
      <c r="I28" s="2" t="s">
        <v>221</v>
      </c>
      <c r="J28" s="2" t="s">
        <v>279</v>
      </c>
      <c r="K28" s="2" t="s">
        <v>279</v>
      </c>
      <c r="L28" s="2"/>
    </row>
    <row r="29">
      <c r="A29" s="2" t="s">
        <v>63</v>
      </c>
      <c r="B29" s="2" t="s">
        <v>282</v>
      </c>
      <c r="C29" s="2" t="s">
        <v>18</v>
      </c>
      <c r="F29" s="2" t="s">
        <v>319</v>
      </c>
      <c r="H29" s="2" t="s">
        <v>282</v>
      </c>
      <c r="I29" s="2" t="s">
        <v>221</v>
      </c>
      <c r="J29" s="2" t="s">
        <v>282</v>
      </c>
      <c r="K29" s="2">
        <v>36.0</v>
      </c>
      <c r="L29" s="2" t="s">
        <v>324</v>
      </c>
    </row>
    <row r="30">
      <c r="A30" s="2" t="s">
        <v>64</v>
      </c>
      <c r="B30" s="2"/>
      <c r="C30" s="2" t="s">
        <v>66</v>
      </c>
    </row>
    <row r="31">
      <c r="A31" s="2" t="s">
        <v>68</v>
      </c>
      <c r="B31" s="2"/>
      <c r="C31" s="2" t="s">
        <v>69</v>
      </c>
    </row>
    <row r="32">
      <c r="A32" s="2" t="s">
        <v>70</v>
      </c>
      <c r="B32" s="2"/>
      <c r="C32" s="2" t="s">
        <v>18</v>
      </c>
    </row>
    <row r="33">
      <c r="A33" s="2" t="s">
        <v>71</v>
      </c>
      <c r="B33" s="2"/>
      <c r="C33" s="2" t="s">
        <v>72</v>
      </c>
    </row>
    <row r="34">
      <c r="A34" s="2" t="s">
        <v>74</v>
      </c>
      <c r="B34" s="2"/>
      <c r="C34" s="2" t="s">
        <v>75</v>
      </c>
    </row>
    <row r="35">
      <c r="A35" s="2" t="s">
        <v>76</v>
      </c>
      <c r="C35" s="2" t="s">
        <v>66</v>
      </c>
    </row>
    <row r="36">
      <c r="A36" s="2" t="s">
        <v>77</v>
      </c>
      <c r="C36" s="2" t="s">
        <v>69</v>
      </c>
    </row>
    <row r="37">
      <c r="A37" s="2" t="s">
        <v>78</v>
      </c>
      <c r="C37" s="2" t="s">
        <v>18</v>
      </c>
    </row>
    <row r="38">
      <c r="A38" s="3" t="s">
        <v>79</v>
      </c>
      <c r="C38" s="2" t="s">
        <v>12</v>
      </c>
    </row>
    <row r="39">
      <c r="A39" s="3" t="s">
        <v>82</v>
      </c>
      <c r="C39" s="2" t="s">
        <v>18</v>
      </c>
    </row>
    <row r="40">
      <c r="A40" s="2" t="s">
        <v>83</v>
      </c>
      <c r="C40" s="2" t="s">
        <v>72</v>
      </c>
    </row>
    <row r="41">
      <c r="A41" s="2" t="s">
        <v>85</v>
      </c>
      <c r="C41" s="2" t="s">
        <v>75</v>
      </c>
    </row>
    <row r="42">
      <c r="A42" s="2" t="s">
        <v>86</v>
      </c>
      <c r="C42" s="2" t="s">
        <v>29</v>
      </c>
    </row>
    <row r="43">
      <c r="A43" s="2" t="s">
        <v>87</v>
      </c>
      <c r="C43" s="2" t="s">
        <v>33</v>
      </c>
    </row>
    <row r="44">
      <c r="A44" s="2" t="s">
        <v>88</v>
      </c>
      <c r="C44" s="2" t="s">
        <v>89</v>
      </c>
    </row>
  </sheetData>
  <dataValidations>
    <dataValidation type="custom" allowBlank="1" showDropDown="1" showInputMessage="1" showErrorMessage="1" prompt="Enter a value that satisfies the formula: =REGEXMATCH( TO_TEXT(A2), &quot;^[0-9]{4}_[A-Za-z]{3}_[A-Za-z]{3}_[0-9]{2}$&quot; )  " sqref="A2:A5 A16:A44">
      <formula1>REGEXMATCH( TO_TEXT(A2), "^[0-9]{4}_[A-Za-z]{3}_[A-Za-z]{3}_[0-9]{2}$" )  </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241</v>
      </c>
      <c r="C1" s="1" t="s">
        <v>202</v>
      </c>
      <c r="D1" s="1" t="s">
        <v>204</v>
      </c>
      <c r="E1" s="1" t="s">
        <v>242</v>
      </c>
      <c r="F1" s="1" t="s">
        <v>169</v>
      </c>
      <c r="G1" s="9" t="s">
        <v>170</v>
      </c>
      <c r="H1" s="9" t="s">
        <v>171</v>
      </c>
      <c r="I1" s="13" t="s">
        <v>172</v>
      </c>
      <c r="J1" s="1" t="s">
        <v>151</v>
      </c>
      <c r="K1" s="1" t="s">
        <v>159</v>
      </c>
    </row>
    <row r="2">
      <c r="A2" s="2" t="s">
        <v>10</v>
      </c>
      <c r="C2" s="2" t="s">
        <v>12</v>
      </c>
      <c r="E2" s="2" t="s">
        <v>254</v>
      </c>
      <c r="F2" s="2">
        <v>116.0</v>
      </c>
      <c r="G2" s="2">
        <v>-17.2</v>
      </c>
      <c r="H2" s="2" t="s">
        <v>221</v>
      </c>
      <c r="I2" s="2">
        <v>1.2</v>
      </c>
      <c r="J2" s="2">
        <v>344.0</v>
      </c>
      <c r="K2" s="2" t="s">
        <v>325</v>
      </c>
    </row>
    <row r="3">
      <c r="A3" s="2" t="s">
        <v>17</v>
      </c>
      <c r="C3" s="2" t="s">
        <v>18</v>
      </c>
      <c r="E3" s="2" t="s">
        <v>254</v>
      </c>
      <c r="F3" s="2">
        <v>116.0</v>
      </c>
      <c r="G3" s="2">
        <v>8.8</v>
      </c>
      <c r="H3" s="2" t="s">
        <v>221</v>
      </c>
      <c r="I3" s="2">
        <v>1.2</v>
      </c>
      <c r="J3" s="2">
        <v>354.0</v>
      </c>
      <c r="K3" s="2" t="s">
        <v>325</v>
      </c>
    </row>
    <row r="4">
      <c r="A4" s="2" t="s">
        <v>19</v>
      </c>
      <c r="C4" s="2" t="s">
        <v>12</v>
      </c>
      <c r="E4" s="2" t="s">
        <v>254</v>
      </c>
      <c r="F4" s="2">
        <v>116.0</v>
      </c>
      <c r="G4" s="2">
        <v>-15.3</v>
      </c>
      <c r="H4" s="2" t="s">
        <v>221</v>
      </c>
      <c r="I4" s="2">
        <v>1.2</v>
      </c>
      <c r="J4" s="2">
        <v>352.0</v>
      </c>
      <c r="K4" s="2" t="s">
        <v>325</v>
      </c>
    </row>
    <row r="5">
      <c r="A5" s="2" t="s">
        <v>21</v>
      </c>
      <c r="C5" s="2" t="s">
        <v>18</v>
      </c>
      <c r="E5" s="2" t="s">
        <v>254</v>
      </c>
      <c r="F5" s="2">
        <v>116.0</v>
      </c>
      <c r="G5" s="2">
        <v>7.2</v>
      </c>
      <c r="H5" s="2" t="s">
        <v>221</v>
      </c>
      <c r="I5" s="2">
        <v>1.1</v>
      </c>
      <c r="J5" s="2">
        <v>374.0</v>
      </c>
      <c r="K5" s="2" t="s">
        <v>325</v>
      </c>
    </row>
    <row r="6">
      <c r="A6" s="2" t="s">
        <v>22</v>
      </c>
      <c r="B6" s="2" t="s">
        <v>160</v>
      </c>
      <c r="C6" s="2" t="s">
        <v>24</v>
      </c>
      <c r="E6" s="2" t="s">
        <v>254</v>
      </c>
    </row>
    <row r="7">
      <c r="A7" s="2" t="s">
        <v>28</v>
      </c>
      <c r="B7" s="2" t="s">
        <v>160</v>
      </c>
      <c r="C7" s="2" t="s">
        <v>29</v>
      </c>
      <c r="E7" s="2" t="s">
        <v>254</v>
      </c>
    </row>
    <row r="8">
      <c r="A8" s="2" t="s">
        <v>30</v>
      </c>
      <c r="B8" s="2" t="s">
        <v>161</v>
      </c>
      <c r="C8" s="2" t="s">
        <v>31</v>
      </c>
      <c r="E8" s="2" t="s">
        <v>254</v>
      </c>
    </row>
    <row r="9">
      <c r="A9" s="2" t="s">
        <v>32</v>
      </c>
      <c r="B9" s="2" t="s">
        <v>161</v>
      </c>
      <c r="C9" s="2" t="s">
        <v>33</v>
      </c>
      <c r="E9" s="2" t="s">
        <v>254</v>
      </c>
    </row>
    <row r="10">
      <c r="A10" s="2" t="s">
        <v>34</v>
      </c>
      <c r="C10" s="2" t="s">
        <v>18</v>
      </c>
      <c r="E10" s="2" t="s">
        <v>254</v>
      </c>
    </row>
    <row r="11">
      <c r="A11" s="2" t="s">
        <v>35</v>
      </c>
      <c r="B11" s="2" t="s">
        <v>160</v>
      </c>
      <c r="C11" s="2" t="s">
        <v>24</v>
      </c>
      <c r="E11" s="2" t="s">
        <v>254</v>
      </c>
    </row>
    <row r="12">
      <c r="A12" s="2" t="s">
        <v>37</v>
      </c>
      <c r="B12" s="2" t="s">
        <v>160</v>
      </c>
      <c r="C12" s="2" t="s">
        <v>29</v>
      </c>
      <c r="E12" s="2" t="s">
        <v>254</v>
      </c>
    </row>
    <row r="13">
      <c r="A13" s="2" t="s">
        <v>38</v>
      </c>
      <c r="B13" s="2" t="s">
        <v>161</v>
      </c>
      <c r="C13" s="2" t="s">
        <v>31</v>
      </c>
      <c r="E13" s="2" t="s">
        <v>254</v>
      </c>
    </row>
    <row r="14">
      <c r="A14" s="2" t="s">
        <v>39</v>
      </c>
      <c r="B14" s="2" t="s">
        <v>161</v>
      </c>
      <c r="C14" s="2" t="s">
        <v>33</v>
      </c>
      <c r="E14" s="2" t="s">
        <v>254</v>
      </c>
    </row>
    <row r="15">
      <c r="A15" s="2" t="s">
        <v>40</v>
      </c>
      <c r="C15" s="2" t="s">
        <v>18</v>
      </c>
      <c r="E15" s="2" t="s">
        <v>254</v>
      </c>
    </row>
    <row r="16">
      <c r="A16" s="2" t="s">
        <v>41</v>
      </c>
      <c r="C16" s="2" t="s">
        <v>12</v>
      </c>
    </row>
    <row r="17">
      <c r="A17" s="2" t="s">
        <v>44</v>
      </c>
      <c r="C17" s="2" t="s">
        <v>18</v>
      </c>
    </row>
    <row r="18">
      <c r="A18" s="2" t="s">
        <v>45</v>
      </c>
      <c r="C18" s="2" t="s">
        <v>12</v>
      </c>
    </row>
    <row r="19">
      <c r="A19" s="2" t="s">
        <v>47</v>
      </c>
      <c r="C19" s="2" t="s">
        <v>18</v>
      </c>
    </row>
    <row r="20">
      <c r="A20" s="2" t="s">
        <v>48</v>
      </c>
      <c r="C20" s="2" t="s">
        <v>12</v>
      </c>
      <c r="E20" s="2" t="s">
        <v>254</v>
      </c>
      <c r="H20" s="2" t="s">
        <v>221</v>
      </c>
    </row>
    <row r="21">
      <c r="A21" s="2" t="s">
        <v>51</v>
      </c>
      <c r="C21" s="2" t="s">
        <v>18</v>
      </c>
      <c r="E21" s="2" t="s">
        <v>254</v>
      </c>
      <c r="H21" s="2" t="s">
        <v>221</v>
      </c>
    </row>
    <row r="22">
      <c r="A22" s="2" t="s">
        <v>52</v>
      </c>
      <c r="C22" s="2" t="s">
        <v>12</v>
      </c>
    </row>
    <row r="23">
      <c r="A23" s="2" t="s">
        <v>55</v>
      </c>
      <c r="C23" s="2" t="s">
        <v>18</v>
      </c>
    </row>
    <row r="24">
      <c r="A24" s="2" t="s">
        <v>56</v>
      </c>
      <c r="B24" s="2" t="s">
        <v>279</v>
      </c>
      <c r="C24" s="2" t="s">
        <v>12</v>
      </c>
    </row>
    <row r="25">
      <c r="A25" s="2" t="s">
        <v>60</v>
      </c>
      <c r="B25" s="2" t="s">
        <v>282</v>
      </c>
      <c r="C25" s="2" t="s">
        <v>18</v>
      </c>
    </row>
    <row r="26">
      <c r="A26" s="2" t="s">
        <v>60</v>
      </c>
      <c r="B26" s="2" t="s">
        <v>282</v>
      </c>
      <c r="C26" s="2" t="s">
        <v>18</v>
      </c>
    </row>
    <row r="27">
      <c r="A27" s="2" t="s">
        <v>60</v>
      </c>
      <c r="B27" s="2" t="s">
        <v>282</v>
      </c>
      <c r="C27" s="2" t="s">
        <v>18</v>
      </c>
    </row>
    <row r="28">
      <c r="A28" s="2" t="s">
        <v>61</v>
      </c>
      <c r="B28" s="2" t="s">
        <v>279</v>
      </c>
      <c r="C28" s="2" t="s">
        <v>12</v>
      </c>
    </row>
    <row r="29">
      <c r="A29" s="2" t="s">
        <v>63</v>
      </c>
      <c r="B29" s="2" t="s">
        <v>282</v>
      </c>
      <c r="C29" s="2" t="s">
        <v>18</v>
      </c>
    </row>
    <row r="30">
      <c r="A30" s="2" t="s">
        <v>64</v>
      </c>
      <c r="B30" s="2"/>
      <c r="C30" s="2" t="s">
        <v>66</v>
      </c>
    </row>
    <row r="31">
      <c r="A31" s="2" t="s">
        <v>68</v>
      </c>
      <c r="B31" s="2"/>
      <c r="C31" s="2" t="s">
        <v>69</v>
      </c>
    </row>
    <row r="32">
      <c r="A32" s="2" t="s">
        <v>70</v>
      </c>
      <c r="B32" s="2"/>
      <c r="C32" s="2" t="s">
        <v>18</v>
      </c>
    </row>
    <row r="33">
      <c r="A33" s="2" t="s">
        <v>71</v>
      </c>
      <c r="B33" s="2"/>
      <c r="C33" s="2" t="s">
        <v>72</v>
      </c>
    </row>
    <row r="34">
      <c r="A34" s="2" t="s">
        <v>74</v>
      </c>
      <c r="B34" s="2"/>
      <c r="C34" s="2" t="s">
        <v>75</v>
      </c>
    </row>
    <row r="35">
      <c r="A35" s="2" t="s">
        <v>76</v>
      </c>
      <c r="C35" s="2" t="s">
        <v>66</v>
      </c>
    </row>
    <row r="36">
      <c r="A36" s="2" t="s">
        <v>77</v>
      </c>
      <c r="C36" s="2" t="s">
        <v>69</v>
      </c>
    </row>
    <row r="37">
      <c r="A37" s="2" t="s">
        <v>78</v>
      </c>
      <c r="C37" s="2" t="s">
        <v>18</v>
      </c>
    </row>
    <row r="38">
      <c r="A38" s="3" t="s">
        <v>79</v>
      </c>
      <c r="C38" s="2" t="s">
        <v>12</v>
      </c>
    </row>
    <row r="39">
      <c r="A39" s="3" t="s">
        <v>82</v>
      </c>
      <c r="C39" s="2" t="s">
        <v>18</v>
      </c>
    </row>
    <row r="40">
      <c r="A40" s="2" t="s">
        <v>83</v>
      </c>
      <c r="C40" s="2" t="s">
        <v>72</v>
      </c>
    </row>
    <row r="41">
      <c r="A41" s="2" t="s">
        <v>85</v>
      </c>
      <c r="C41" s="2" t="s">
        <v>75</v>
      </c>
    </row>
    <row r="42">
      <c r="A42" s="2" t="s">
        <v>86</v>
      </c>
      <c r="C42" s="2" t="s">
        <v>29</v>
      </c>
    </row>
    <row r="43">
      <c r="A43" s="2" t="s">
        <v>87</v>
      </c>
      <c r="C43" s="2" t="s">
        <v>33</v>
      </c>
    </row>
    <row r="44">
      <c r="A44" s="2" t="s">
        <v>88</v>
      </c>
      <c r="C44" s="2" t="s">
        <v>89</v>
      </c>
    </row>
  </sheetData>
  <dataValidations>
    <dataValidation type="custom" allowBlank="1" showDropDown="1" showInputMessage="1" showErrorMessage="1" prompt="Enter a value that satisfies the formula: =REGEXMATCH( TO_TEXT(A2), &quot;^[0-9]{4}_[A-Za-z]{3}_[A-Za-z]{3}_[0-9]{2}$&quot; )  " sqref="A2:A5 A16:A44">
      <formula1>REGEXMATCH( TO_TEXT(A2), "^[0-9]{4}_[A-Za-z]{3}_[A-Za-z]{3}_[0-9]{2}$" )  </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 t="s">
        <v>0</v>
      </c>
      <c r="B1" s="14" t="s">
        <v>1</v>
      </c>
      <c r="C1" s="1" t="s">
        <v>2</v>
      </c>
      <c r="D1" s="14" t="s">
        <v>155</v>
      </c>
      <c r="E1" s="14" t="s">
        <v>151</v>
      </c>
      <c r="F1" s="14" t="s">
        <v>326</v>
      </c>
      <c r="G1" s="14" t="s">
        <v>327</v>
      </c>
      <c r="H1" s="13" t="s">
        <v>328</v>
      </c>
      <c r="I1" s="13" t="s">
        <v>329</v>
      </c>
      <c r="J1" s="13" t="s">
        <v>330</v>
      </c>
      <c r="K1" s="14" t="s">
        <v>331</v>
      </c>
      <c r="L1" s="14" t="s">
        <v>332</v>
      </c>
      <c r="M1" s="14" t="s">
        <v>333</v>
      </c>
      <c r="N1" s="13" t="s">
        <v>334</v>
      </c>
      <c r="O1" s="1" t="s">
        <v>159</v>
      </c>
    </row>
    <row r="2">
      <c r="A2" s="2" t="s">
        <v>10</v>
      </c>
      <c r="B2" s="2" t="s">
        <v>11</v>
      </c>
      <c r="C2" s="2" t="s">
        <v>12</v>
      </c>
      <c r="E2" s="2">
        <v>503.0</v>
      </c>
      <c r="F2" s="2">
        <v>95.0</v>
      </c>
      <c r="G2" s="8">
        <f t="shared" ref="G2:G6" si="1">F2/E2</f>
        <v>0.1888667992</v>
      </c>
      <c r="H2" s="2" t="s">
        <v>335</v>
      </c>
      <c r="I2" s="2">
        <v>24.9</v>
      </c>
      <c r="J2" s="2" t="s">
        <v>336</v>
      </c>
      <c r="K2" s="2">
        <v>22.9</v>
      </c>
      <c r="L2" s="2">
        <v>47.0</v>
      </c>
      <c r="M2" s="8">
        <f t="shared" ref="M2:M5" si="2">L2/E2</f>
        <v>0.09343936382</v>
      </c>
    </row>
    <row r="3">
      <c r="A3" s="2" t="s">
        <v>17</v>
      </c>
      <c r="B3" s="2" t="s">
        <v>11</v>
      </c>
      <c r="C3" s="2" t="s">
        <v>18</v>
      </c>
      <c r="E3" s="2">
        <v>481.0</v>
      </c>
      <c r="F3" s="2">
        <v>76.0</v>
      </c>
      <c r="G3" s="8">
        <f t="shared" si="1"/>
        <v>0.158004158</v>
      </c>
      <c r="H3" s="2" t="s">
        <v>337</v>
      </c>
      <c r="I3" s="2">
        <v>2.7</v>
      </c>
      <c r="J3" s="2" t="s">
        <v>338</v>
      </c>
      <c r="K3" s="2">
        <v>12.3</v>
      </c>
      <c r="L3" s="2">
        <v>10.0</v>
      </c>
      <c r="M3" s="8">
        <f t="shared" si="2"/>
        <v>0.02079002079</v>
      </c>
    </row>
    <row r="4">
      <c r="A4" s="2" t="s">
        <v>19</v>
      </c>
      <c r="B4" s="2" t="s">
        <v>20</v>
      </c>
      <c r="C4" s="2" t="s">
        <v>12</v>
      </c>
      <c r="E4" s="2">
        <v>501.0</v>
      </c>
      <c r="F4" s="2">
        <v>63.0</v>
      </c>
      <c r="G4" s="8">
        <f t="shared" si="1"/>
        <v>0.125748503</v>
      </c>
      <c r="H4" s="2" t="s">
        <v>269</v>
      </c>
      <c r="I4" s="2" t="s">
        <v>269</v>
      </c>
      <c r="J4" s="2" t="s">
        <v>269</v>
      </c>
      <c r="K4" s="2" t="s">
        <v>269</v>
      </c>
      <c r="L4" s="2">
        <v>44.0</v>
      </c>
      <c r="M4" s="8">
        <f t="shared" si="2"/>
        <v>0.0878243513</v>
      </c>
    </row>
    <row r="5">
      <c r="A5" s="2" t="s">
        <v>21</v>
      </c>
      <c r="B5" s="2" t="s">
        <v>20</v>
      </c>
      <c r="C5" s="2" t="s">
        <v>18</v>
      </c>
      <c r="E5" s="2">
        <v>474.0</v>
      </c>
      <c r="F5" s="2">
        <v>61.0</v>
      </c>
      <c r="G5" s="8">
        <f t="shared" si="1"/>
        <v>0.1286919831</v>
      </c>
      <c r="H5" s="2" t="s">
        <v>270</v>
      </c>
      <c r="I5" s="2" t="s">
        <v>270</v>
      </c>
      <c r="J5" s="2" t="s">
        <v>270</v>
      </c>
      <c r="K5" s="2" t="s">
        <v>270</v>
      </c>
      <c r="L5" s="2">
        <v>7.0</v>
      </c>
      <c r="M5" s="8">
        <f t="shared" si="2"/>
        <v>0.01476793249</v>
      </c>
    </row>
    <row r="6">
      <c r="A6" s="2" t="s">
        <v>22</v>
      </c>
      <c r="B6" s="2" t="s">
        <v>23</v>
      </c>
      <c r="C6" s="2" t="s">
        <v>24</v>
      </c>
      <c r="D6" s="2" t="s">
        <v>339</v>
      </c>
      <c r="E6" s="2">
        <v>547.0</v>
      </c>
      <c r="F6" s="2">
        <v>83.0</v>
      </c>
      <c r="G6" s="8">
        <f t="shared" si="1"/>
        <v>0.1517367459</v>
      </c>
      <c r="H6" s="2" t="s">
        <v>340</v>
      </c>
      <c r="I6" s="2">
        <v>26.0</v>
      </c>
      <c r="J6" s="2" t="s">
        <v>341</v>
      </c>
      <c r="K6" s="2">
        <v>16.0</v>
      </c>
      <c r="L6" s="2" t="s">
        <v>342</v>
      </c>
      <c r="M6" s="8">
        <f>29/499</f>
        <v>0.05811623246</v>
      </c>
    </row>
    <row r="7">
      <c r="A7" s="2" t="s">
        <v>28</v>
      </c>
      <c r="B7" s="2" t="s">
        <v>23</v>
      </c>
      <c r="C7" s="2" t="s">
        <v>29</v>
      </c>
      <c r="D7" s="2" t="s">
        <v>339</v>
      </c>
      <c r="E7" s="2" t="s">
        <v>339</v>
      </c>
      <c r="F7" s="2" t="s">
        <v>339</v>
      </c>
      <c r="G7" s="2" t="s">
        <v>339</v>
      </c>
      <c r="H7" s="2" t="s">
        <v>339</v>
      </c>
      <c r="I7" s="2" t="s">
        <v>339</v>
      </c>
      <c r="J7" s="2" t="s">
        <v>339</v>
      </c>
      <c r="K7" s="2" t="s">
        <v>339</v>
      </c>
      <c r="L7" s="2" t="s">
        <v>343</v>
      </c>
      <c r="M7" s="2" t="s">
        <v>343</v>
      </c>
    </row>
    <row r="8">
      <c r="A8" s="2" t="s">
        <v>30</v>
      </c>
      <c r="B8" s="2" t="s">
        <v>23</v>
      </c>
      <c r="C8" s="2" t="s">
        <v>31</v>
      </c>
      <c r="D8" s="2" t="s">
        <v>153</v>
      </c>
      <c r="E8" s="2">
        <v>543.0</v>
      </c>
      <c r="F8" s="2">
        <v>104.0</v>
      </c>
      <c r="G8" s="8">
        <f>F8/E8</f>
        <v>0.1915285451</v>
      </c>
      <c r="H8" s="2" t="s">
        <v>344</v>
      </c>
      <c r="I8" s="2">
        <v>35.0</v>
      </c>
      <c r="J8" s="2" t="s">
        <v>345</v>
      </c>
      <c r="K8" s="2">
        <v>20.0</v>
      </c>
      <c r="L8" s="2" t="s">
        <v>343</v>
      </c>
      <c r="M8" s="2" t="s">
        <v>343</v>
      </c>
    </row>
    <row r="9">
      <c r="A9" s="2" t="s">
        <v>32</v>
      </c>
      <c r="B9" s="2" t="s">
        <v>23</v>
      </c>
      <c r="C9" s="2" t="s">
        <v>33</v>
      </c>
      <c r="D9" s="2" t="s">
        <v>153</v>
      </c>
      <c r="E9" s="2" t="s">
        <v>153</v>
      </c>
      <c r="F9" s="2" t="s">
        <v>153</v>
      </c>
      <c r="G9" s="2" t="s">
        <v>153</v>
      </c>
      <c r="H9" s="2" t="s">
        <v>153</v>
      </c>
      <c r="I9" s="2" t="s">
        <v>153</v>
      </c>
      <c r="J9" s="2" t="s">
        <v>153</v>
      </c>
      <c r="K9" s="2" t="s">
        <v>153</v>
      </c>
      <c r="L9" s="2" t="s">
        <v>343</v>
      </c>
      <c r="M9" s="2" t="s">
        <v>343</v>
      </c>
    </row>
    <row r="10">
      <c r="A10" s="2" t="s">
        <v>34</v>
      </c>
      <c r="B10" s="2" t="s">
        <v>23</v>
      </c>
      <c r="C10" s="2" t="s">
        <v>18</v>
      </c>
      <c r="E10" s="2">
        <v>548.0</v>
      </c>
      <c r="F10" s="2">
        <v>91.0</v>
      </c>
      <c r="G10" s="8">
        <f t="shared" ref="G10:G11" si="3">F10/E10</f>
        <v>0.1660583942</v>
      </c>
      <c r="H10" s="2" t="s">
        <v>346</v>
      </c>
      <c r="I10" s="2">
        <v>2.0</v>
      </c>
      <c r="J10" s="2" t="s">
        <v>347</v>
      </c>
      <c r="K10" s="2">
        <v>7.0</v>
      </c>
      <c r="L10" s="2" t="s">
        <v>348</v>
      </c>
      <c r="M10" s="8">
        <f>7/485</f>
        <v>0.01443298969</v>
      </c>
    </row>
    <row r="11">
      <c r="A11" s="2" t="s">
        <v>35</v>
      </c>
      <c r="B11" s="2" t="s">
        <v>36</v>
      </c>
      <c r="C11" s="2" t="s">
        <v>24</v>
      </c>
      <c r="D11" s="2" t="s">
        <v>339</v>
      </c>
      <c r="E11" s="2">
        <v>548.0</v>
      </c>
      <c r="F11" s="2">
        <v>75.0</v>
      </c>
      <c r="G11" s="8">
        <f t="shared" si="3"/>
        <v>0.1368613139</v>
      </c>
      <c r="H11" s="2" t="s">
        <v>349</v>
      </c>
      <c r="I11" s="2">
        <v>26.0</v>
      </c>
      <c r="J11" s="2" t="s">
        <v>350</v>
      </c>
      <c r="K11" s="2">
        <v>16.0</v>
      </c>
      <c r="L11" s="2" t="s">
        <v>351</v>
      </c>
      <c r="M11" s="8">
        <f>19/498</f>
        <v>0.03815261044</v>
      </c>
    </row>
    <row r="12">
      <c r="A12" s="2" t="s">
        <v>37</v>
      </c>
      <c r="B12" s="2" t="s">
        <v>36</v>
      </c>
      <c r="C12" s="2" t="s">
        <v>29</v>
      </c>
      <c r="D12" s="2" t="s">
        <v>339</v>
      </c>
      <c r="E12" s="2" t="s">
        <v>339</v>
      </c>
      <c r="F12" s="2" t="s">
        <v>339</v>
      </c>
      <c r="G12" s="2" t="s">
        <v>339</v>
      </c>
      <c r="H12" s="2" t="s">
        <v>339</v>
      </c>
      <c r="I12" s="2" t="s">
        <v>339</v>
      </c>
      <c r="J12" s="2" t="s">
        <v>339</v>
      </c>
      <c r="K12" s="2" t="s">
        <v>339</v>
      </c>
      <c r="L12" s="2" t="s">
        <v>343</v>
      </c>
      <c r="M12" s="2" t="s">
        <v>343</v>
      </c>
    </row>
    <row r="13">
      <c r="A13" s="2" t="s">
        <v>38</v>
      </c>
      <c r="B13" s="2" t="s">
        <v>36</v>
      </c>
      <c r="C13" s="2" t="s">
        <v>31</v>
      </c>
      <c r="D13" s="2" t="s">
        <v>153</v>
      </c>
      <c r="E13" s="2">
        <v>549.0</v>
      </c>
      <c r="F13" s="2">
        <v>101.0</v>
      </c>
      <c r="G13" s="8">
        <f>F13/E13</f>
        <v>0.1839708561</v>
      </c>
      <c r="H13" s="2" t="s">
        <v>352</v>
      </c>
      <c r="I13" s="2">
        <v>36.0</v>
      </c>
      <c r="J13" s="2" t="s">
        <v>353</v>
      </c>
      <c r="K13" s="2">
        <v>19.0</v>
      </c>
      <c r="L13" s="2" t="s">
        <v>343</v>
      </c>
      <c r="M13" s="2" t="s">
        <v>343</v>
      </c>
    </row>
    <row r="14">
      <c r="A14" s="2" t="s">
        <v>39</v>
      </c>
      <c r="B14" s="2" t="s">
        <v>36</v>
      </c>
      <c r="C14" s="2" t="s">
        <v>33</v>
      </c>
      <c r="D14" s="2" t="s">
        <v>153</v>
      </c>
      <c r="E14" s="2" t="s">
        <v>153</v>
      </c>
      <c r="F14" s="2" t="s">
        <v>153</v>
      </c>
      <c r="G14" s="2" t="s">
        <v>153</v>
      </c>
      <c r="H14" s="2" t="s">
        <v>153</v>
      </c>
      <c r="I14" s="2" t="s">
        <v>153</v>
      </c>
      <c r="J14" s="2" t="s">
        <v>153</v>
      </c>
      <c r="K14" s="2" t="s">
        <v>153</v>
      </c>
      <c r="L14" s="2" t="s">
        <v>343</v>
      </c>
      <c r="M14" s="2" t="s">
        <v>343</v>
      </c>
    </row>
    <row r="15">
      <c r="A15" s="2" t="s">
        <v>40</v>
      </c>
      <c r="B15" s="2" t="s">
        <v>36</v>
      </c>
      <c r="C15" s="2" t="s">
        <v>18</v>
      </c>
      <c r="E15" s="2">
        <v>550.0</v>
      </c>
      <c r="F15" s="2">
        <v>80.0</v>
      </c>
      <c r="G15" s="8">
        <f t="shared" ref="G15:G17" si="4">F15/E15</f>
        <v>0.1454545455</v>
      </c>
      <c r="H15" s="2" t="s">
        <v>354</v>
      </c>
      <c r="I15" s="2">
        <v>3.0</v>
      </c>
      <c r="J15" s="2" t="s">
        <v>355</v>
      </c>
      <c r="K15" s="2">
        <v>6.0</v>
      </c>
      <c r="L15" s="2" t="s">
        <v>356</v>
      </c>
      <c r="M15" s="8">
        <f>5/477</f>
        <v>0.01048218029</v>
      </c>
    </row>
    <row r="16">
      <c r="A16" s="2" t="s">
        <v>41</v>
      </c>
      <c r="B16" s="2" t="s">
        <v>42</v>
      </c>
      <c r="C16" s="2" t="s">
        <v>12</v>
      </c>
      <c r="D16" s="2" t="s">
        <v>357</v>
      </c>
      <c r="E16" s="2">
        <v>1027.0</v>
      </c>
      <c r="F16" s="2">
        <v>152.0</v>
      </c>
      <c r="G16" s="8">
        <f t="shared" si="4"/>
        <v>0.1480038948</v>
      </c>
      <c r="H16" s="2">
        <v>9.0</v>
      </c>
      <c r="I16" s="2">
        <v>0.9</v>
      </c>
      <c r="J16" s="2">
        <v>50.0</v>
      </c>
      <c r="K16" s="2">
        <v>4.9</v>
      </c>
      <c r="L16" s="2" t="s">
        <v>358</v>
      </c>
      <c r="M16" s="8">
        <f>33/506</f>
        <v>0.0652173913</v>
      </c>
    </row>
    <row r="17">
      <c r="A17" s="2" t="s">
        <v>44</v>
      </c>
      <c r="B17" s="2" t="s">
        <v>42</v>
      </c>
      <c r="C17" s="2" t="s">
        <v>18</v>
      </c>
      <c r="D17" s="2" t="s">
        <v>359</v>
      </c>
      <c r="E17" s="2">
        <v>1025.0</v>
      </c>
      <c r="F17" s="2">
        <v>175.0</v>
      </c>
      <c r="G17" s="8">
        <f t="shared" si="4"/>
        <v>0.1707317073</v>
      </c>
      <c r="H17" s="2">
        <v>4.0</v>
      </c>
      <c r="I17" s="2">
        <v>0.4</v>
      </c>
      <c r="J17" s="2">
        <v>57.0</v>
      </c>
      <c r="K17" s="2">
        <v>5.6</v>
      </c>
      <c r="L17" s="2" t="s">
        <v>360</v>
      </c>
      <c r="M17" s="8">
        <f>39/506</f>
        <v>0.07707509881</v>
      </c>
    </row>
    <row r="18">
      <c r="A18" s="2" t="s">
        <v>45</v>
      </c>
      <c r="B18" s="2" t="s">
        <v>46</v>
      </c>
      <c r="C18" s="2" t="s">
        <v>12</v>
      </c>
      <c r="D18" s="2" t="s">
        <v>357</v>
      </c>
      <c r="E18" s="2" t="s">
        <v>357</v>
      </c>
      <c r="F18" s="2" t="s">
        <v>357</v>
      </c>
      <c r="G18" s="2" t="s">
        <v>357</v>
      </c>
      <c r="H18" s="2" t="s">
        <v>357</v>
      </c>
      <c r="I18" s="2" t="s">
        <v>357</v>
      </c>
      <c r="J18" s="2" t="s">
        <v>357</v>
      </c>
      <c r="K18" s="2" t="s">
        <v>357</v>
      </c>
      <c r="L18" s="2" t="s">
        <v>361</v>
      </c>
      <c r="M18" s="8">
        <f>39/521</f>
        <v>0.07485604607</v>
      </c>
    </row>
    <row r="19">
      <c r="A19" s="2" t="s">
        <v>47</v>
      </c>
      <c r="B19" s="2" t="s">
        <v>46</v>
      </c>
      <c r="C19" s="2" t="s">
        <v>18</v>
      </c>
      <c r="D19" s="2" t="s">
        <v>359</v>
      </c>
      <c r="E19" s="2" t="s">
        <v>359</v>
      </c>
      <c r="F19" s="2" t="s">
        <v>359</v>
      </c>
      <c r="G19" s="2" t="s">
        <v>359</v>
      </c>
      <c r="H19" s="2" t="s">
        <v>359</v>
      </c>
      <c r="I19" s="2" t="s">
        <v>359</v>
      </c>
      <c r="J19" s="2" t="s">
        <v>359</v>
      </c>
      <c r="K19" s="2" t="s">
        <v>359</v>
      </c>
      <c r="L19" s="2" t="s">
        <v>362</v>
      </c>
      <c r="M19" s="8">
        <f>41/519</f>
        <v>0.07899807322</v>
      </c>
    </row>
    <row r="20">
      <c r="A20" s="2" t="s">
        <v>48</v>
      </c>
      <c r="B20" s="2" t="s">
        <v>49</v>
      </c>
      <c r="C20" s="2" t="s">
        <v>12</v>
      </c>
      <c r="E20" s="2">
        <v>898.0</v>
      </c>
      <c r="F20" s="2">
        <v>126.0</v>
      </c>
      <c r="G20" s="8">
        <f t="shared" ref="G20:G42" si="5">F20/E20</f>
        <v>0.140311804</v>
      </c>
      <c r="H20" s="2">
        <v>113.0</v>
      </c>
      <c r="I20" s="2">
        <v>12.6</v>
      </c>
      <c r="J20" s="2">
        <v>155.0</v>
      </c>
      <c r="K20" s="2">
        <v>17.3</v>
      </c>
      <c r="L20" s="2">
        <v>62.0</v>
      </c>
      <c r="M20" s="8">
        <f t="shared" ref="M20:M21" si="6">L20/E20</f>
        <v>0.06904231626</v>
      </c>
    </row>
    <row r="21">
      <c r="A21" s="2" t="s">
        <v>51</v>
      </c>
      <c r="B21" s="2" t="s">
        <v>49</v>
      </c>
      <c r="C21" s="2" t="s">
        <v>18</v>
      </c>
      <c r="E21" s="2">
        <v>897.0</v>
      </c>
      <c r="F21" s="2">
        <v>101.0</v>
      </c>
      <c r="G21" s="8">
        <f t="shared" si="5"/>
        <v>0.1125975474</v>
      </c>
      <c r="H21" s="2">
        <v>15.0</v>
      </c>
      <c r="I21" s="2">
        <v>1.7</v>
      </c>
      <c r="J21" s="2">
        <v>81.0</v>
      </c>
      <c r="K21" s="2">
        <v>9.0</v>
      </c>
      <c r="L21" s="2">
        <v>26.0</v>
      </c>
      <c r="M21" s="8">
        <f t="shared" si="6"/>
        <v>0.02898550725</v>
      </c>
    </row>
    <row r="22">
      <c r="A22" s="2" t="s">
        <v>52</v>
      </c>
      <c r="B22" s="2" t="s">
        <v>53</v>
      </c>
      <c r="C22" s="2" t="s">
        <v>12</v>
      </c>
      <c r="E22" s="2">
        <v>1054.0</v>
      </c>
      <c r="F22" s="2">
        <v>175.0</v>
      </c>
      <c r="G22" s="8">
        <f t="shared" si="5"/>
        <v>0.1660341556</v>
      </c>
      <c r="H22" s="2">
        <v>1.0</v>
      </c>
      <c r="I22" s="2">
        <v>0.09</v>
      </c>
      <c r="L22" s="2" t="s">
        <v>363</v>
      </c>
      <c r="M22" s="8">
        <f>48/1057</f>
        <v>0.0454115421</v>
      </c>
    </row>
    <row r="23">
      <c r="A23" s="2" t="s">
        <v>55</v>
      </c>
      <c r="B23" s="2" t="s">
        <v>53</v>
      </c>
      <c r="C23" s="2" t="s">
        <v>18</v>
      </c>
      <c r="E23" s="2">
        <v>1067.0</v>
      </c>
      <c r="F23" s="2">
        <v>202.0</v>
      </c>
      <c r="G23" s="8">
        <f t="shared" si="5"/>
        <v>0.1893158388</v>
      </c>
      <c r="H23" s="2">
        <v>2.0</v>
      </c>
      <c r="I23" s="2">
        <v>0.19</v>
      </c>
      <c r="L23" s="2" t="s">
        <v>364</v>
      </c>
      <c r="M23" s="8">
        <f>39/1072</f>
        <v>0.03638059701</v>
      </c>
    </row>
    <row r="24">
      <c r="A24" s="2" t="s">
        <v>56</v>
      </c>
      <c r="B24" s="2" t="s">
        <v>57</v>
      </c>
      <c r="C24" s="2" t="s">
        <v>12</v>
      </c>
      <c r="E24" s="2">
        <v>404.0</v>
      </c>
      <c r="F24" s="2">
        <v>67.0</v>
      </c>
      <c r="G24" s="8">
        <f t="shared" si="5"/>
        <v>0.1658415842</v>
      </c>
      <c r="H24" s="2" t="s">
        <v>365</v>
      </c>
      <c r="I24" s="2">
        <v>0.3</v>
      </c>
      <c r="J24" s="2" t="s">
        <v>366</v>
      </c>
      <c r="K24" s="2">
        <v>9.8</v>
      </c>
      <c r="L24" s="2">
        <v>14.0</v>
      </c>
      <c r="M24" s="8">
        <f t="shared" ref="M24:M37" si="7">L24/E24</f>
        <v>0.03465346535</v>
      </c>
    </row>
    <row r="25">
      <c r="A25" s="2" t="s">
        <v>60</v>
      </c>
      <c r="B25" s="2" t="s">
        <v>57</v>
      </c>
      <c r="C25" s="2" t="s">
        <v>18</v>
      </c>
      <c r="E25" s="2">
        <v>405.0</v>
      </c>
      <c r="F25" s="2">
        <v>63.0</v>
      </c>
      <c r="G25" s="8">
        <f t="shared" si="5"/>
        <v>0.1555555556</v>
      </c>
      <c r="H25" s="2" t="s">
        <v>367</v>
      </c>
      <c r="I25" s="2">
        <v>0.3</v>
      </c>
      <c r="J25" s="2" t="s">
        <v>368</v>
      </c>
      <c r="K25" s="2">
        <v>7.8</v>
      </c>
      <c r="L25" s="2">
        <v>15.0</v>
      </c>
      <c r="M25" s="8">
        <f t="shared" si="7"/>
        <v>0.03703703704</v>
      </c>
    </row>
    <row r="26">
      <c r="A26" s="2" t="s">
        <v>61</v>
      </c>
      <c r="B26" s="2" t="s">
        <v>62</v>
      </c>
      <c r="C26" s="2" t="s">
        <v>12</v>
      </c>
      <c r="E26" s="2">
        <v>404.0</v>
      </c>
      <c r="F26" s="2">
        <v>33.0</v>
      </c>
      <c r="G26" s="8">
        <f t="shared" si="5"/>
        <v>0.08168316832</v>
      </c>
      <c r="H26" s="2" t="s">
        <v>369</v>
      </c>
      <c r="I26" s="2">
        <v>0.3</v>
      </c>
      <c r="J26" s="2" t="s">
        <v>370</v>
      </c>
      <c r="K26" s="2">
        <v>5.0</v>
      </c>
      <c r="L26" s="2">
        <v>5.0</v>
      </c>
      <c r="M26" s="8">
        <f t="shared" si="7"/>
        <v>0.01237623762</v>
      </c>
    </row>
    <row r="27">
      <c r="A27" s="2" t="s">
        <v>63</v>
      </c>
      <c r="B27" s="2" t="s">
        <v>62</v>
      </c>
      <c r="C27" s="2" t="s">
        <v>18</v>
      </c>
      <c r="E27" s="2">
        <v>398.0</v>
      </c>
      <c r="F27" s="2">
        <v>42.0</v>
      </c>
      <c r="G27" s="8">
        <f t="shared" si="5"/>
        <v>0.1055276382</v>
      </c>
      <c r="H27" s="2">
        <v>0.0</v>
      </c>
      <c r="I27" s="2">
        <v>0.0</v>
      </c>
      <c r="J27" s="2" t="s">
        <v>371</v>
      </c>
      <c r="K27" s="2">
        <v>5.9</v>
      </c>
      <c r="L27" s="2">
        <v>9.0</v>
      </c>
      <c r="M27" s="8">
        <f t="shared" si="7"/>
        <v>0.02261306533</v>
      </c>
    </row>
    <row r="28">
      <c r="A28" s="2" t="s">
        <v>64</v>
      </c>
      <c r="B28" s="2" t="s">
        <v>65</v>
      </c>
      <c r="C28" s="2" t="s">
        <v>66</v>
      </c>
      <c r="E28" s="2">
        <v>271.0</v>
      </c>
      <c r="G28" s="8">
        <f t="shared" si="5"/>
        <v>0</v>
      </c>
      <c r="H28" s="2">
        <v>18.0</v>
      </c>
      <c r="I28" s="2">
        <v>6.6</v>
      </c>
      <c r="J28" s="2">
        <v>62.0</v>
      </c>
      <c r="K28" s="2">
        <v>22.9</v>
      </c>
      <c r="L28" s="2">
        <v>31.0</v>
      </c>
      <c r="M28" s="8">
        <f t="shared" si="7"/>
        <v>0.1143911439</v>
      </c>
    </row>
    <row r="29">
      <c r="A29" s="2" t="s">
        <v>68</v>
      </c>
      <c r="B29" s="2" t="s">
        <v>65</v>
      </c>
      <c r="C29" s="2" t="s">
        <v>69</v>
      </c>
      <c r="E29" s="2">
        <v>260.0</v>
      </c>
      <c r="G29" s="8">
        <f t="shared" si="5"/>
        <v>0</v>
      </c>
      <c r="H29" s="2">
        <v>35.0</v>
      </c>
      <c r="I29" s="2">
        <v>13.5</v>
      </c>
      <c r="J29" s="2">
        <v>42.0</v>
      </c>
      <c r="K29" s="2">
        <v>16.2</v>
      </c>
      <c r="L29" s="2">
        <v>13.0</v>
      </c>
      <c r="M29" s="8">
        <f t="shared" si="7"/>
        <v>0.05</v>
      </c>
    </row>
    <row r="30">
      <c r="A30" s="2" t="s">
        <v>70</v>
      </c>
      <c r="B30" s="2" t="s">
        <v>65</v>
      </c>
      <c r="C30" s="2" t="s">
        <v>18</v>
      </c>
      <c r="E30" s="2">
        <v>266.0</v>
      </c>
      <c r="G30" s="8">
        <f t="shared" si="5"/>
        <v>0</v>
      </c>
      <c r="H30" s="2">
        <v>2.0</v>
      </c>
      <c r="I30" s="2">
        <v>0.8</v>
      </c>
      <c r="J30" s="2">
        <v>35.0</v>
      </c>
      <c r="K30" s="2">
        <v>13.2</v>
      </c>
      <c r="L30" s="2">
        <v>32.0</v>
      </c>
      <c r="M30" s="8">
        <f t="shared" si="7"/>
        <v>0.1203007519</v>
      </c>
    </row>
    <row r="31">
      <c r="A31" s="2" t="s">
        <v>71</v>
      </c>
      <c r="B31" s="2">
        <v>302.0</v>
      </c>
      <c r="C31" s="2" t="s">
        <v>72</v>
      </c>
      <c r="E31" s="2">
        <v>673.0</v>
      </c>
      <c r="F31" s="2">
        <v>176.0</v>
      </c>
      <c r="G31" s="8">
        <f t="shared" si="5"/>
        <v>0.2615156018</v>
      </c>
      <c r="H31" s="2">
        <v>103.0</v>
      </c>
      <c r="I31" s="2">
        <v>15.3</v>
      </c>
      <c r="J31" s="2">
        <v>3.0</v>
      </c>
      <c r="K31" s="2">
        <v>0.4</v>
      </c>
      <c r="L31" s="2">
        <v>74.0</v>
      </c>
      <c r="M31" s="8">
        <f t="shared" si="7"/>
        <v>0.1099554235</v>
      </c>
    </row>
    <row r="32">
      <c r="A32" s="2" t="s">
        <v>74</v>
      </c>
      <c r="B32" s="2">
        <v>302.0</v>
      </c>
      <c r="C32" s="2" t="s">
        <v>75</v>
      </c>
      <c r="E32" s="2">
        <v>448.0</v>
      </c>
      <c r="F32" s="2">
        <v>89.0</v>
      </c>
      <c r="G32" s="8">
        <f t="shared" si="5"/>
        <v>0.1986607143</v>
      </c>
      <c r="H32" s="2">
        <v>1.0</v>
      </c>
      <c r="I32" s="2">
        <v>0.2</v>
      </c>
      <c r="J32" s="2">
        <v>0.0</v>
      </c>
      <c r="K32" s="2">
        <v>0.0</v>
      </c>
      <c r="L32" s="2">
        <v>34.0</v>
      </c>
      <c r="M32" s="8">
        <f t="shared" si="7"/>
        <v>0.07589285714</v>
      </c>
    </row>
    <row r="33">
      <c r="A33" s="2" t="s">
        <v>76</v>
      </c>
      <c r="B33" s="2">
        <v>301.0</v>
      </c>
      <c r="C33" s="2" t="s">
        <v>66</v>
      </c>
      <c r="E33" s="2">
        <v>337.0</v>
      </c>
      <c r="F33" s="2">
        <v>72.0</v>
      </c>
      <c r="G33" s="8">
        <f t="shared" si="5"/>
        <v>0.2136498516</v>
      </c>
      <c r="H33" s="2">
        <v>14.0</v>
      </c>
      <c r="I33" s="2">
        <v>4.2</v>
      </c>
      <c r="J33" s="2">
        <v>1.0</v>
      </c>
      <c r="K33" s="2">
        <v>0.3</v>
      </c>
      <c r="L33" s="2">
        <v>32.0</v>
      </c>
      <c r="M33" s="8">
        <f t="shared" si="7"/>
        <v>0.09495548961</v>
      </c>
    </row>
    <row r="34">
      <c r="A34" s="2" t="s">
        <v>77</v>
      </c>
      <c r="B34" s="2">
        <v>301.0</v>
      </c>
      <c r="C34" s="2" t="s">
        <v>69</v>
      </c>
      <c r="E34" s="2">
        <v>329.0</v>
      </c>
      <c r="F34" s="2">
        <v>38.0</v>
      </c>
      <c r="G34" s="8">
        <f t="shared" si="5"/>
        <v>0.1155015198</v>
      </c>
      <c r="H34" s="2">
        <v>31.0</v>
      </c>
      <c r="I34" s="2">
        <v>9.4</v>
      </c>
      <c r="J34" s="2">
        <v>1.0</v>
      </c>
      <c r="K34" s="2">
        <v>0.3</v>
      </c>
      <c r="L34" s="2">
        <v>29.0</v>
      </c>
      <c r="M34" s="8">
        <f t="shared" si="7"/>
        <v>0.08814589666</v>
      </c>
    </row>
    <row r="35">
      <c r="A35" s="2" t="s">
        <v>78</v>
      </c>
      <c r="B35" s="2">
        <v>301.0</v>
      </c>
      <c r="C35" s="2" t="s">
        <v>18</v>
      </c>
      <c r="E35" s="2">
        <v>524.0</v>
      </c>
      <c r="F35" s="2">
        <v>108.0</v>
      </c>
      <c r="G35" s="8">
        <f t="shared" si="5"/>
        <v>0.2061068702</v>
      </c>
      <c r="H35" s="2">
        <v>1.0</v>
      </c>
      <c r="I35" s="2">
        <v>0.2</v>
      </c>
      <c r="J35" s="2">
        <v>0.0</v>
      </c>
      <c r="K35" s="2">
        <v>0.0</v>
      </c>
      <c r="L35" s="2">
        <v>40.0</v>
      </c>
      <c r="M35" s="8">
        <f t="shared" si="7"/>
        <v>0.07633587786</v>
      </c>
    </row>
    <row r="36">
      <c r="A36" s="3" t="s">
        <v>79</v>
      </c>
      <c r="B36" s="3" t="s">
        <v>80</v>
      </c>
      <c r="C36" s="3" t="s">
        <v>12</v>
      </c>
      <c r="D36" s="2" t="s">
        <v>154</v>
      </c>
      <c r="E36" s="6">
        <v>584.0</v>
      </c>
      <c r="F36" s="2">
        <v>97.0</v>
      </c>
      <c r="G36" s="8">
        <f t="shared" si="5"/>
        <v>0.1660958904</v>
      </c>
      <c r="H36" s="2">
        <v>138.0</v>
      </c>
      <c r="I36" s="2">
        <v>23.6</v>
      </c>
      <c r="J36" s="2">
        <v>109.0</v>
      </c>
      <c r="K36" s="2">
        <v>18.7</v>
      </c>
      <c r="L36" s="2">
        <v>82.0</v>
      </c>
      <c r="M36" s="8">
        <f t="shared" si="7"/>
        <v>0.1404109589</v>
      </c>
    </row>
    <row r="37">
      <c r="A37" s="3" t="s">
        <v>82</v>
      </c>
      <c r="B37" s="3" t="s">
        <v>80</v>
      </c>
      <c r="C37" s="3" t="s">
        <v>18</v>
      </c>
      <c r="D37" s="2" t="s">
        <v>154</v>
      </c>
      <c r="E37" s="6">
        <v>593.0</v>
      </c>
      <c r="F37" s="2">
        <v>97.0</v>
      </c>
      <c r="G37" s="8">
        <f t="shared" si="5"/>
        <v>0.1635750422</v>
      </c>
      <c r="H37" s="2">
        <v>13.0</v>
      </c>
      <c r="I37" s="2">
        <v>2.2</v>
      </c>
      <c r="J37" s="2">
        <v>41.0</v>
      </c>
      <c r="K37" s="2">
        <v>6.9</v>
      </c>
      <c r="L37" s="2">
        <v>27.0</v>
      </c>
      <c r="M37" s="8">
        <f t="shared" si="7"/>
        <v>0.0455311973</v>
      </c>
    </row>
    <row r="38">
      <c r="A38" s="2" t="s">
        <v>83</v>
      </c>
      <c r="B38" s="2">
        <v>3001.0</v>
      </c>
      <c r="C38" s="2" t="s">
        <v>72</v>
      </c>
      <c r="E38" s="2">
        <v>658.0</v>
      </c>
      <c r="G38" s="8">
        <f t="shared" si="5"/>
        <v>0</v>
      </c>
      <c r="H38" s="2" t="s">
        <v>372</v>
      </c>
      <c r="I38" s="2">
        <v>16.67</v>
      </c>
      <c r="J38" s="2" t="s">
        <v>373</v>
      </c>
      <c r="K38" s="2">
        <v>0.92</v>
      </c>
      <c r="L38" s="2" t="s">
        <v>374</v>
      </c>
      <c r="M38" s="8">
        <f>59/654</f>
        <v>0.09021406728</v>
      </c>
    </row>
    <row r="39">
      <c r="A39" s="2" t="s">
        <v>85</v>
      </c>
      <c r="B39" s="2">
        <v>3001.0</v>
      </c>
      <c r="C39" s="2" t="s">
        <v>75</v>
      </c>
      <c r="E39" s="2">
        <v>441.0</v>
      </c>
      <c r="G39" s="8">
        <f t="shared" si="5"/>
        <v>0</v>
      </c>
      <c r="H39" s="2" t="s">
        <v>375</v>
      </c>
      <c r="I39" s="2">
        <v>2.05</v>
      </c>
      <c r="J39" s="2" t="s">
        <v>376</v>
      </c>
      <c r="K39" s="2">
        <v>1.14</v>
      </c>
      <c r="L39" s="2" t="s">
        <v>377</v>
      </c>
      <c r="M39" s="8">
        <f>32/439</f>
        <v>0.0728929385</v>
      </c>
    </row>
    <row r="40">
      <c r="A40" s="2" t="s">
        <v>86</v>
      </c>
      <c r="B40" s="2">
        <v>3000.0</v>
      </c>
      <c r="C40" s="2" t="s">
        <v>29</v>
      </c>
      <c r="E40" s="2">
        <v>269.0</v>
      </c>
      <c r="G40" s="8">
        <f t="shared" si="5"/>
        <v>0</v>
      </c>
      <c r="H40" s="2" t="s">
        <v>378</v>
      </c>
      <c r="I40" s="2">
        <v>4.87</v>
      </c>
      <c r="J40" s="2" t="s">
        <v>379</v>
      </c>
      <c r="K40" s="2">
        <v>0.75</v>
      </c>
      <c r="L40" s="2" t="s">
        <v>378</v>
      </c>
      <c r="M40" s="8">
        <f>13/267</f>
        <v>0.04868913858</v>
      </c>
    </row>
    <row r="41">
      <c r="A41" s="2" t="s">
        <v>87</v>
      </c>
      <c r="B41" s="2">
        <v>3000.0</v>
      </c>
      <c r="C41" s="2" t="s">
        <v>33</v>
      </c>
      <c r="E41" s="2">
        <v>264.0</v>
      </c>
      <c r="G41" s="8">
        <f t="shared" si="5"/>
        <v>0</v>
      </c>
      <c r="H41" s="2" t="s">
        <v>380</v>
      </c>
      <c r="I41" s="2">
        <v>11.79</v>
      </c>
      <c r="J41" s="2" t="s">
        <v>381</v>
      </c>
      <c r="K41" s="2">
        <v>0.38</v>
      </c>
      <c r="L41" s="2" t="s">
        <v>382</v>
      </c>
      <c r="M41" s="8">
        <f>13/263</f>
        <v>0.04942965779</v>
      </c>
    </row>
    <row r="42">
      <c r="A42" s="2" t="s">
        <v>88</v>
      </c>
      <c r="B42" s="2">
        <v>3000.0</v>
      </c>
      <c r="C42" s="2" t="s">
        <v>89</v>
      </c>
      <c r="E42" s="2">
        <v>346.0</v>
      </c>
      <c r="G42" s="8">
        <f t="shared" si="5"/>
        <v>0</v>
      </c>
      <c r="H42" s="2" t="s">
        <v>383</v>
      </c>
      <c r="I42" s="2">
        <v>0.58</v>
      </c>
      <c r="J42" s="2" t="s">
        <v>384</v>
      </c>
      <c r="K42" s="2">
        <v>2.03</v>
      </c>
      <c r="L42" s="2" t="s">
        <v>385</v>
      </c>
      <c r="M42" s="8">
        <f>19/344</f>
        <v>0.05523255814</v>
      </c>
    </row>
  </sheetData>
  <dataValidations>
    <dataValidation type="custom" allowBlank="1" showDropDown="1" showInputMessage="1" showErrorMessage="1" prompt="Enter a value that satisfies the formula: =REGEXMATCH( TO_TEXT(A2), &quot;^[0-9]{4}_[A-Za-z]{3}_[A-Za-z]{3}_[0-9]{2}$&quot; )  " sqref="A2:A42">
      <formula1>REGEXMATCH( TO_TEXT(A2), "^[0-9]{4}_[A-Za-z]{3}_[A-Za-z]{3}_[0-9]{2}$" )  </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0</v>
      </c>
      <c r="B1" s="14" t="s">
        <v>165</v>
      </c>
      <c r="C1" s="14" t="s">
        <v>386</v>
      </c>
      <c r="D1" s="14" t="s">
        <v>387</v>
      </c>
      <c r="E1" s="14" t="s">
        <v>388</v>
      </c>
      <c r="F1" s="14" t="s">
        <v>389</v>
      </c>
      <c r="G1" s="14" t="s">
        <v>390</v>
      </c>
      <c r="H1" s="14" t="s">
        <v>391</v>
      </c>
      <c r="I1" s="14" t="s">
        <v>392</v>
      </c>
      <c r="J1" s="14" t="s">
        <v>393</v>
      </c>
      <c r="K1" s="14" t="s">
        <v>172</v>
      </c>
      <c r="L1" s="14" t="s">
        <v>394</v>
      </c>
      <c r="M1" s="14" t="s">
        <v>395</v>
      </c>
      <c r="N1" s="14" t="s">
        <v>396</v>
      </c>
      <c r="O1" s="14" t="s">
        <v>159</v>
      </c>
      <c r="P1" s="4"/>
      <c r="Q1" s="4"/>
      <c r="R1" s="4"/>
      <c r="S1" s="4"/>
      <c r="T1" s="4"/>
      <c r="U1" s="4"/>
      <c r="V1" s="4"/>
      <c r="W1" s="4"/>
      <c r="X1" s="4"/>
      <c r="Y1" s="4"/>
      <c r="Z1" s="4"/>
      <c r="AA1" s="4"/>
      <c r="AB1" s="4"/>
      <c r="AC1" s="4"/>
      <c r="AD1" s="4"/>
    </row>
    <row r="2">
      <c r="A2" s="2" t="s">
        <v>397</v>
      </c>
      <c r="B2" s="2" t="s">
        <v>398</v>
      </c>
      <c r="C2" s="2" t="s">
        <v>16</v>
      </c>
      <c r="D2" s="2" t="s">
        <v>399</v>
      </c>
      <c r="E2" s="2" t="s">
        <v>211</v>
      </c>
      <c r="F2" s="2" t="s">
        <v>400</v>
      </c>
      <c r="G2" s="2" t="s">
        <v>401</v>
      </c>
      <c r="H2" s="2" t="s">
        <v>402</v>
      </c>
      <c r="I2" s="2" t="s">
        <v>403</v>
      </c>
      <c r="J2" s="2" t="s">
        <v>404</v>
      </c>
      <c r="K2" s="2" t="s">
        <v>405</v>
      </c>
      <c r="L2" s="2">
        <v>90.0</v>
      </c>
      <c r="M2" s="2" t="s">
        <v>406</v>
      </c>
      <c r="N2" s="2" t="s">
        <v>27</v>
      </c>
      <c r="O2" s="2" t="s">
        <v>407</v>
      </c>
    </row>
    <row r="3">
      <c r="A3" s="2" t="s">
        <v>397</v>
      </c>
      <c r="B3" s="2" t="s">
        <v>408</v>
      </c>
      <c r="C3" s="2" t="s">
        <v>27</v>
      </c>
      <c r="D3" s="2" t="s">
        <v>209</v>
      </c>
      <c r="E3" s="2" t="s">
        <v>211</v>
      </c>
      <c r="F3" s="2" t="s">
        <v>409</v>
      </c>
      <c r="H3" s="2" t="s">
        <v>402</v>
      </c>
      <c r="I3" s="2" t="s">
        <v>403</v>
      </c>
      <c r="J3" s="2" t="s">
        <v>404</v>
      </c>
      <c r="K3" s="2" t="s">
        <v>410</v>
      </c>
      <c r="N3" s="2" t="s">
        <v>16</v>
      </c>
    </row>
    <row r="4">
      <c r="A4" s="2" t="s">
        <v>397</v>
      </c>
      <c r="B4" s="2" t="s">
        <v>411</v>
      </c>
      <c r="C4" s="2" t="s">
        <v>16</v>
      </c>
      <c r="D4" s="2" t="s">
        <v>209</v>
      </c>
      <c r="E4" s="2" t="s">
        <v>211</v>
      </c>
      <c r="F4" s="2" t="s">
        <v>409</v>
      </c>
      <c r="H4" s="2" t="s">
        <v>402</v>
      </c>
      <c r="I4" s="2" t="s">
        <v>403</v>
      </c>
      <c r="J4" s="2" t="s">
        <v>404</v>
      </c>
      <c r="K4" s="2" t="s">
        <v>410</v>
      </c>
      <c r="N4" s="2" t="s">
        <v>16</v>
      </c>
    </row>
    <row r="5">
      <c r="A5" s="2" t="s">
        <v>397</v>
      </c>
      <c r="B5" s="2" t="s">
        <v>412</v>
      </c>
      <c r="C5" s="2" t="s">
        <v>16</v>
      </c>
      <c r="D5" s="2" t="s">
        <v>209</v>
      </c>
      <c r="E5" s="2" t="s">
        <v>211</v>
      </c>
      <c r="F5" s="2" t="s">
        <v>409</v>
      </c>
      <c r="H5" s="2" t="s">
        <v>402</v>
      </c>
      <c r="I5" s="2" t="s">
        <v>403</v>
      </c>
      <c r="J5" s="2" t="s">
        <v>404</v>
      </c>
      <c r="K5" s="2" t="s">
        <v>410</v>
      </c>
      <c r="N5" s="2" t="s">
        <v>16</v>
      </c>
    </row>
    <row r="6">
      <c r="A6" s="2" t="s">
        <v>397</v>
      </c>
      <c r="B6" s="2" t="s">
        <v>413</v>
      </c>
      <c r="C6" s="2" t="s">
        <v>27</v>
      </c>
      <c r="D6" s="2" t="s">
        <v>209</v>
      </c>
      <c r="E6" s="2" t="s">
        <v>211</v>
      </c>
      <c r="F6" s="2" t="s">
        <v>409</v>
      </c>
      <c r="H6" s="2" t="s">
        <v>402</v>
      </c>
      <c r="I6" s="2" t="s">
        <v>403</v>
      </c>
      <c r="J6" s="2" t="s">
        <v>414</v>
      </c>
      <c r="K6" s="2" t="s">
        <v>410</v>
      </c>
      <c r="N6" s="2" t="s">
        <v>16</v>
      </c>
    </row>
    <row r="7">
      <c r="A7" s="2" t="s">
        <v>397</v>
      </c>
      <c r="B7" s="2" t="s">
        <v>415</v>
      </c>
      <c r="C7" s="2" t="s">
        <v>27</v>
      </c>
      <c r="D7" s="2" t="s">
        <v>209</v>
      </c>
      <c r="E7" s="2" t="s">
        <v>211</v>
      </c>
      <c r="F7" s="2" t="s">
        <v>409</v>
      </c>
      <c r="H7" s="2" t="s">
        <v>402</v>
      </c>
      <c r="I7" s="2" t="s">
        <v>403</v>
      </c>
      <c r="J7" s="2" t="s">
        <v>414</v>
      </c>
      <c r="K7" s="2" t="s">
        <v>410</v>
      </c>
      <c r="N7" s="2" t="s">
        <v>16</v>
      </c>
    </row>
    <row r="8">
      <c r="A8" s="2" t="s">
        <v>397</v>
      </c>
      <c r="B8" s="2" t="s">
        <v>416</v>
      </c>
      <c r="C8" s="2" t="s">
        <v>27</v>
      </c>
      <c r="D8" s="2" t="s">
        <v>209</v>
      </c>
      <c r="E8" s="2" t="s">
        <v>211</v>
      </c>
      <c r="F8" s="2" t="s">
        <v>409</v>
      </c>
      <c r="H8" s="2" t="s">
        <v>402</v>
      </c>
      <c r="I8" s="2" t="s">
        <v>403</v>
      </c>
      <c r="J8" s="2" t="s">
        <v>414</v>
      </c>
      <c r="K8" s="2" t="s">
        <v>410</v>
      </c>
      <c r="N8" s="2" t="s">
        <v>16</v>
      </c>
    </row>
    <row r="9">
      <c r="A9" s="2" t="s">
        <v>397</v>
      </c>
      <c r="B9" s="2" t="s">
        <v>417</v>
      </c>
      <c r="C9" s="2" t="s">
        <v>27</v>
      </c>
      <c r="D9" s="2" t="s">
        <v>221</v>
      </c>
      <c r="E9" s="2" t="s">
        <v>211</v>
      </c>
      <c r="F9" s="2" t="s">
        <v>400</v>
      </c>
      <c r="G9" s="2" t="s">
        <v>400</v>
      </c>
      <c r="H9" s="2" t="s">
        <v>402</v>
      </c>
      <c r="I9" s="2" t="s">
        <v>403</v>
      </c>
      <c r="J9" s="2" t="s">
        <v>404</v>
      </c>
      <c r="K9" s="2" t="s">
        <v>410</v>
      </c>
      <c r="N9" s="2" t="s">
        <v>16</v>
      </c>
    </row>
    <row r="10">
      <c r="A10" s="2" t="s">
        <v>397</v>
      </c>
      <c r="B10" s="2" t="s">
        <v>418</v>
      </c>
      <c r="C10" s="2" t="s">
        <v>27</v>
      </c>
      <c r="D10" s="2" t="s">
        <v>221</v>
      </c>
      <c r="E10" s="2" t="s">
        <v>211</v>
      </c>
      <c r="F10" s="2" t="s">
        <v>400</v>
      </c>
      <c r="G10" s="2" t="s">
        <v>400</v>
      </c>
      <c r="H10" s="2" t="s">
        <v>402</v>
      </c>
      <c r="I10" s="2" t="s">
        <v>403</v>
      </c>
      <c r="J10" s="2" t="s">
        <v>414</v>
      </c>
      <c r="K10" s="2" t="s">
        <v>419</v>
      </c>
      <c r="N10" s="2" t="s">
        <v>16</v>
      </c>
    </row>
    <row r="11">
      <c r="A11" s="2" t="s">
        <v>420</v>
      </c>
      <c r="B11" s="2" t="s">
        <v>398</v>
      </c>
      <c r="C11" s="2" t="s">
        <v>16</v>
      </c>
      <c r="D11" s="2" t="s">
        <v>221</v>
      </c>
      <c r="E11" s="2" t="s">
        <v>211</v>
      </c>
      <c r="F11" s="2" t="s">
        <v>421</v>
      </c>
      <c r="I11" s="2" t="s">
        <v>403</v>
      </c>
      <c r="J11" s="2" t="s">
        <v>404</v>
      </c>
      <c r="K11" s="2" t="s">
        <v>410</v>
      </c>
      <c r="N11" s="2" t="s">
        <v>16</v>
      </c>
      <c r="O11" s="2" t="s">
        <v>422</v>
      </c>
    </row>
    <row r="12">
      <c r="A12" s="2" t="s">
        <v>420</v>
      </c>
      <c r="B12" s="2" t="s">
        <v>408</v>
      </c>
      <c r="C12" s="2" t="s">
        <v>27</v>
      </c>
      <c r="D12" s="2" t="s">
        <v>221</v>
      </c>
      <c r="E12" s="2" t="s">
        <v>211</v>
      </c>
      <c r="F12" s="2" t="s">
        <v>421</v>
      </c>
      <c r="I12" s="2" t="s">
        <v>403</v>
      </c>
      <c r="J12" s="2" t="s">
        <v>404</v>
      </c>
      <c r="K12" s="2" t="s">
        <v>410</v>
      </c>
      <c r="N12" s="2" t="s">
        <v>16</v>
      </c>
    </row>
    <row r="13">
      <c r="A13" s="2" t="s">
        <v>420</v>
      </c>
      <c r="B13" s="2" t="s">
        <v>411</v>
      </c>
      <c r="C13" s="2" t="s">
        <v>16</v>
      </c>
      <c r="D13" s="2" t="s">
        <v>221</v>
      </c>
      <c r="E13" s="2" t="s">
        <v>211</v>
      </c>
      <c r="F13" s="2" t="s">
        <v>421</v>
      </c>
      <c r="I13" s="2" t="s">
        <v>403</v>
      </c>
      <c r="J13" s="2" t="s">
        <v>404</v>
      </c>
      <c r="K13" s="2" t="s">
        <v>410</v>
      </c>
      <c r="N13" s="2" t="s">
        <v>16</v>
      </c>
    </row>
    <row r="14">
      <c r="A14" s="2" t="s">
        <v>420</v>
      </c>
      <c r="B14" s="2" t="s">
        <v>412</v>
      </c>
      <c r="C14" s="2" t="s">
        <v>16</v>
      </c>
      <c r="D14" s="2" t="s">
        <v>221</v>
      </c>
      <c r="E14" s="2" t="s">
        <v>211</v>
      </c>
      <c r="F14" s="2" t="s">
        <v>421</v>
      </c>
      <c r="I14" s="2" t="s">
        <v>403</v>
      </c>
      <c r="J14" s="2" t="s">
        <v>404</v>
      </c>
      <c r="K14" s="2" t="s">
        <v>410</v>
      </c>
      <c r="N14" s="2" t="s">
        <v>16</v>
      </c>
    </row>
    <row r="15">
      <c r="A15" s="2" t="s">
        <v>420</v>
      </c>
      <c r="B15" s="2" t="s">
        <v>423</v>
      </c>
      <c r="C15" s="2" t="s">
        <v>27</v>
      </c>
      <c r="D15" s="2" t="s">
        <v>221</v>
      </c>
      <c r="E15" s="2" t="s">
        <v>211</v>
      </c>
      <c r="F15" s="2" t="s">
        <v>421</v>
      </c>
      <c r="I15" s="2" t="s">
        <v>403</v>
      </c>
      <c r="J15" s="2" t="s">
        <v>404</v>
      </c>
      <c r="K15" s="2" t="s">
        <v>410</v>
      </c>
      <c r="N15" s="2" t="s">
        <v>16</v>
      </c>
    </row>
    <row r="16">
      <c r="A16" s="2" t="s">
        <v>420</v>
      </c>
      <c r="B16" s="2" t="s">
        <v>415</v>
      </c>
      <c r="C16" s="2" t="s">
        <v>27</v>
      </c>
      <c r="D16" s="2" t="s">
        <v>221</v>
      </c>
      <c r="E16" s="2" t="s">
        <v>211</v>
      </c>
      <c r="F16" s="2" t="s">
        <v>421</v>
      </c>
      <c r="I16" s="2" t="s">
        <v>403</v>
      </c>
      <c r="J16" s="2" t="s">
        <v>404</v>
      </c>
      <c r="K16" s="2" t="s">
        <v>410</v>
      </c>
      <c r="N16" s="2" t="s">
        <v>16</v>
      </c>
    </row>
    <row r="17">
      <c r="A17" s="2" t="s">
        <v>420</v>
      </c>
      <c r="B17" s="2" t="s">
        <v>418</v>
      </c>
      <c r="C17" s="2" t="s">
        <v>27</v>
      </c>
      <c r="D17" s="2" t="s">
        <v>209</v>
      </c>
      <c r="E17" s="2" t="s">
        <v>211</v>
      </c>
      <c r="F17" s="2" t="s">
        <v>424</v>
      </c>
      <c r="I17" s="2" t="s">
        <v>403</v>
      </c>
      <c r="J17" s="2" t="s">
        <v>414</v>
      </c>
      <c r="K17" s="2"/>
      <c r="N17" s="2" t="s">
        <v>16</v>
      </c>
      <c r="O17" s="2" t="s">
        <v>425</v>
      </c>
    </row>
    <row r="18">
      <c r="A18" s="2" t="s">
        <v>426</v>
      </c>
      <c r="B18" s="2" t="s">
        <v>408</v>
      </c>
      <c r="C18" s="2" t="s">
        <v>27</v>
      </c>
      <c r="D18" s="2" t="s">
        <v>221</v>
      </c>
      <c r="E18" s="2" t="s">
        <v>211</v>
      </c>
      <c r="F18" s="2" t="s">
        <v>427</v>
      </c>
      <c r="G18" s="2" t="s">
        <v>401</v>
      </c>
      <c r="H18" s="2" t="s">
        <v>402</v>
      </c>
      <c r="I18" s="2" t="s">
        <v>403</v>
      </c>
      <c r="J18" s="2" t="s">
        <v>404</v>
      </c>
      <c r="K18" s="2" t="s">
        <v>410</v>
      </c>
    </row>
    <row r="19">
      <c r="A19" s="2" t="s">
        <v>426</v>
      </c>
      <c r="B19" s="2" t="s">
        <v>411</v>
      </c>
      <c r="C19" s="2" t="s">
        <v>16</v>
      </c>
      <c r="D19" s="2" t="s">
        <v>221</v>
      </c>
      <c r="E19" s="2" t="s">
        <v>211</v>
      </c>
      <c r="F19" s="2" t="s">
        <v>427</v>
      </c>
      <c r="G19" s="2" t="s">
        <v>401</v>
      </c>
      <c r="H19" s="2" t="s">
        <v>402</v>
      </c>
      <c r="I19" s="2" t="s">
        <v>403</v>
      </c>
      <c r="J19" s="2" t="s">
        <v>404</v>
      </c>
      <c r="K19" s="2" t="s">
        <v>410</v>
      </c>
    </row>
    <row r="20">
      <c r="A20" s="2" t="s">
        <v>426</v>
      </c>
      <c r="B20" s="2" t="s">
        <v>398</v>
      </c>
      <c r="C20" s="2" t="s">
        <v>16</v>
      </c>
      <c r="D20" s="2" t="s">
        <v>221</v>
      </c>
      <c r="E20" s="2" t="s">
        <v>211</v>
      </c>
      <c r="F20" s="2" t="s">
        <v>427</v>
      </c>
      <c r="G20" s="2" t="s">
        <v>401</v>
      </c>
      <c r="H20" s="2" t="s">
        <v>402</v>
      </c>
      <c r="I20" s="2" t="s">
        <v>403</v>
      </c>
      <c r="J20" s="2" t="s">
        <v>404</v>
      </c>
      <c r="K20" s="2" t="s">
        <v>410</v>
      </c>
    </row>
    <row r="21">
      <c r="A21" s="2" t="s">
        <v>426</v>
      </c>
      <c r="B21" s="2" t="s">
        <v>423</v>
      </c>
      <c r="C21" s="2" t="s">
        <v>27</v>
      </c>
      <c r="D21" s="2" t="s">
        <v>221</v>
      </c>
      <c r="E21" s="2" t="s">
        <v>211</v>
      </c>
      <c r="F21" s="2" t="s">
        <v>427</v>
      </c>
      <c r="G21" s="2" t="s">
        <v>401</v>
      </c>
      <c r="H21" s="2" t="s">
        <v>402</v>
      </c>
      <c r="I21" s="2" t="s">
        <v>403</v>
      </c>
      <c r="J21" s="2" t="s">
        <v>404</v>
      </c>
      <c r="K21" s="2" t="s">
        <v>410</v>
      </c>
    </row>
    <row r="22">
      <c r="A22" s="2" t="s">
        <v>426</v>
      </c>
      <c r="B22" s="2" t="s">
        <v>417</v>
      </c>
      <c r="C22" s="2" t="s">
        <v>27</v>
      </c>
      <c r="D22" s="2" t="s">
        <v>209</v>
      </c>
      <c r="E22" s="2" t="s">
        <v>211</v>
      </c>
      <c r="F22" s="2" t="s">
        <v>428</v>
      </c>
      <c r="I22" s="2" t="s">
        <v>403</v>
      </c>
      <c r="J22" s="2" t="s">
        <v>429</v>
      </c>
      <c r="K22" s="2" t="s">
        <v>410</v>
      </c>
    </row>
    <row r="23">
      <c r="A23" s="2" t="s">
        <v>426</v>
      </c>
      <c r="B23" s="2" t="s">
        <v>413</v>
      </c>
      <c r="C23" s="2" t="s">
        <v>27</v>
      </c>
      <c r="D23" s="2" t="s">
        <v>209</v>
      </c>
      <c r="E23" s="2" t="s">
        <v>211</v>
      </c>
      <c r="F23" s="2" t="s">
        <v>428</v>
      </c>
      <c r="I23" s="2" t="s">
        <v>403</v>
      </c>
      <c r="J23" s="2" t="s">
        <v>429</v>
      </c>
      <c r="K23" s="2" t="s">
        <v>410</v>
      </c>
    </row>
    <row r="24">
      <c r="A24" s="2" t="s">
        <v>426</v>
      </c>
      <c r="B24" s="2" t="s">
        <v>416</v>
      </c>
      <c r="C24" s="2" t="s">
        <v>27</v>
      </c>
      <c r="D24" s="2" t="s">
        <v>209</v>
      </c>
      <c r="E24" s="2" t="s">
        <v>211</v>
      </c>
      <c r="F24" s="2" t="s">
        <v>428</v>
      </c>
      <c r="I24" s="2" t="s">
        <v>403</v>
      </c>
      <c r="J24" s="2" t="s">
        <v>429</v>
      </c>
      <c r="K24" s="2" t="s">
        <v>410</v>
      </c>
    </row>
    <row r="25">
      <c r="A25" s="2" t="s">
        <v>426</v>
      </c>
      <c r="B25" s="2" t="s">
        <v>415</v>
      </c>
      <c r="C25" s="2" t="s">
        <v>27</v>
      </c>
      <c r="D25" s="2" t="s">
        <v>209</v>
      </c>
      <c r="E25" s="2" t="s">
        <v>430</v>
      </c>
      <c r="F25" s="2" t="s">
        <v>428</v>
      </c>
      <c r="I25" s="2" t="s">
        <v>403</v>
      </c>
      <c r="J25" s="2" t="s">
        <v>429</v>
      </c>
      <c r="K25" s="2" t="s">
        <v>410</v>
      </c>
    </row>
    <row r="26">
      <c r="A26" s="2" t="s">
        <v>431</v>
      </c>
      <c r="B26" s="2" t="s">
        <v>398</v>
      </c>
      <c r="C26" s="2" t="s">
        <v>16</v>
      </c>
      <c r="D26" s="2" t="s">
        <v>221</v>
      </c>
      <c r="E26" s="2" t="s">
        <v>211</v>
      </c>
      <c r="F26" s="2" t="s">
        <v>432</v>
      </c>
      <c r="I26" s="2" t="s">
        <v>403</v>
      </c>
      <c r="J26" s="2" t="s">
        <v>414</v>
      </c>
      <c r="K26" s="2" t="s">
        <v>410</v>
      </c>
      <c r="L26" s="2">
        <v>90.0</v>
      </c>
      <c r="M26" s="2" t="s">
        <v>433</v>
      </c>
      <c r="N26" s="2" t="s">
        <v>27</v>
      </c>
      <c r="O26" s="2" t="s">
        <v>434</v>
      </c>
    </row>
    <row r="27">
      <c r="A27" s="2" t="s">
        <v>431</v>
      </c>
      <c r="B27" s="2" t="s">
        <v>415</v>
      </c>
      <c r="C27" s="2" t="s">
        <v>27</v>
      </c>
      <c r="D27" s="2" t="s">
        <v>221</v>
      </c>
      <c r="E27" s="2" t="s">
        <v>211</v>
      </c>
      <c r="F27" s="2" t="s">
        <v>432</v>
      </c>
      <c r="I27" s="2" t="s">
        <v>403</v>
      </c>
      <c r="J27" s="2" t="s">
        <v>414</v>
      </c>
      <c r="K27" s="2" t="s">
        <v>410</v>
      </c>
      <c r="N27" s="2" t="s">
        <v>16</v>
      </c>
    </row>
    <row r="28">
      <c r="A28" s="2" t="s">
        <v>431</v>
      </c>
      <c r="B28" s="2" t="s">
        <v>408</v>
      </c>
      <c r="C28" s="2" t="s">
        <v>27</v>
      </c>
      <c r="D28" s="2" t="s">
        <v>221</v>
      </c>
      <c r="E28" s="2" t="s">
        <v>211</v>
      </c>
      <c r="F28" s="2" t="s">
        <v>432</v>
      </c>
      <c r="I28" s="2" t="s">
        <v>403</v>
      </c>
      <c r="J28" s="2" t="s">
        <v>414</v>
      </c>
      <c r="K28" s="2" t="s">
        <v>410</v>
      </c>
      <c r="N28" s="2" t="s">
        <v>16</v>
      </c>
    </row>
    <row r="29">
      <c r="A29" s="2" t="s">
        <v>431</v>
      </c>
      <c r="B29" s="2" t="s">
        <v>435</v>
      </c>
      <c r="C29" s="2" t="s">
        <v>16</v>
      </c>
      <c r="D29" s="2" t="s">
        <v>221</v>
      </c>
      <c r="E29" s="2" t="s">
        <v>211</v>
      </c>
      <c r="F29" s="2" t="s">
        <v>432</v>
      </c>
      <c r="I29" s="2" t="s">
        <v>403</v>
      </c>
      <c r="J29" s="2" t="s">
        <v>414</v>
      </c>
      <c r="K29" s="2" t="s">
        <v>410</v>
      </c>
      <c r="N29" s="2" t="s">
        <v>16</v>
      </c>
    </row>
    <row r="30">
      <c r="A30" s="2" t="s">
        <v>431</v>
      </c>
      <c r="B30" s="2" t="s">
        <v>411</v>
      </c>
      <c r="C30" s="2" t="s">
        <v>16</v>
      </c>
      <c r="D30" s="2" t="s">
        <v>221</v>
      </c>
      <c r="E30" s="2" t="s">
        <v>211</v>
      </c>
      <c r="F30" s="2" t="s">
        <v>432</v>
      </c>
      <c r="I30" s="2" t="s">
        <v>403</v>
      </c>
      <c r="J30" s="2" t="s">
        <v>414</v>
      </c>
      <c r="K30" s="2" t="s">
        <v>410</v>
      </c>
      <c r="N30" s="2" t="s">
        <v>16</v>
      </c>
    </row>
    <row r="31">
      <c r="A31" s="2" t="s">
        <v>431</v>
      </c>
      <c r="B31" s="2" t="s">
        <v>413</v>
      </c>
      <c r="C31" s="2" t="s">
        <v>27</v>
      </c>
      <c r="D31" s="2" t="s">
        <v>221</v>
      </c>
      <c r="E31" s="2" t="s">
        <v>211</v>
      </c>
      <c r="F31" s="2" t="s">
        <v>436</v>
      </c>
      <c r="I31" s="2" t="s">
        <v>403</v>
      </c>
      <c r="J31" s="2" t="s">
        <v>429</v>
      </c>
      <c r="K31" s="2" t="s">
        <v>410</v>
      </c>
      <c r="N31" s="2" t="s">
        <v>16</v>
      </c>
    </row>
    <row r="32">
      <c r="A32" s="2" t="s">
        <v>437</v>
      </c>
      <c r="B32" s="2" t="s">
        <v>408</v>
      </c>
      <c r="C32" s="2" t="s">
        <v>27</v>
      </c>
      <c r="D32" s="2" t="s">
        <v>221</v>
      </c>
      <c r="E32" s="2" t="s">
        <v>211</v>
      </c>
      <c r="F32" s="2" t="s">
        <v>438</v>
      </c>
      <c r="G32" s="2" t="s">
        <v>401</v>
      </c>
      <c r="H32" s="2" t="s">
        <v>402</v>
      </c>
      <c r="I32" s="2" t="s">
        <v>403</v>
      </c>
      <c r="J32" s="2" t="s">
        <v>404</v>
      </c>
      <c r="K32" s="2" t="s">
        <v>410</v>
      </c>
    </row>
    <row r="33">
      <c r="A33" s="2" t="s">
        <v>437</v>
      </c>
      <c r="B33" s="2" t="s">
        <v>423</v>
      </c>
      <c r="C33" s="2" t="s">
        <v>27</v>
      </c>
      <c r="D33" s="2" t="s">
        <v>221</v>
      </c>
      <c r="E33" s="2" t="s">
        <v>211</v>
      </c>
      <c r="F33" s="2" t="s">
        <v>438</v>
      </c>
      <c r="G33" s="2" t="s">
        <v>401</v>
      </c>
      <c r="H33" s="2" t="s">
        <v>402</v>
      </c>
      <c r="I33" s="2" t="s">
        <v>403</v>
      </c>
      <c r="J33" s="2" t="s">
        <v>404</v>
      </c>
      <c r="O33" s="2" t="s">
        <v>439</v>
      </c>
    </row>
    <row r="34">
      <c r="A34" s="2" t="s">
        <v>437</v>
      </c>
      <c r="B34" s="2" t="s">
        <v>411</v>
      </c>
      <c r="C34" s="2" t="s">
        <v>16</v>
      </c>
      <c r="D34" s="2" t="s">
        <v>221</v>
      </c>
      <c r="E34" s="2" t="s">
        <v>211</v>
      </c>
      <c r="F34" s="2" t="s">
        <v>438</v>
      </c>
      <c r="G34" s="2" t="s">
        <v>401</v>
      </c>
      <c r="H34" s="2" t="s">
        <v>402</v>
      </c>
      <c r="I34" s="2" t="s">
        <v>403</v>
      </c>
      <c r="J34" s="2" t="s">
        <v>404</v>
      </c>
      <c r="O34" s="2" t="s">
        <v>439</v>
      </c>
    </row>
    <row r="35">
      <c r="A35" s="2" t="s">
        <v>437</v>
      </c>
      <c r="B35" s="2" t="s">
        <v>398</v>
      </c>
      <c r="C35" s="2" t="s">
        <v>16</v>
      </c>
      <c r="D35" s="2" t="s">
        <v>209</v>
      </c>
      <c r="E35" s="2" t="s">
        <v>211</v>
      </c>
      <c r="F35" s="2" t="s">
        <v>440</v>
      </c>
      <c r="I35" s="2" t="s">
        <v>403</v>
      </c>
      <c r="J35" s="2" t="s">
        <v>404</v>
      </c>
      <c r="K35" s="2" t="s">
        <v>410</v>
      </c>
    </row>
    <row r="36">
      <c r="A36" s="2" t="s">
        <v>437</v>
      </c>
      <c r="B36" s="2" t="s">
        <v>412</v>
      </c>
      <c r="C36" s="2" t="s">
        <v>16</v>
      </c>
      <c r="D36" s="2" t="s">
        <v>221</v>
      </c>
      <c r="E36" s="2" t="s">
        <v>211</v>
      </c>
      <c r="F36" s="2" t="s">
        <v>438</v>
      </c>
      <c r="G36" s="2" t="s">
        <v>401</v>
      </c>
      <c r="H36" s="2" t="s">
        <v>402</v>
      </c>
      <c r="I36" s="2" t="s">
        <v>403</v>
      </c>
      <c r="J36" s="2" t="s">
        <v>404</v>
      </c>
      <c r="O36" s="2" t="s">
        <v>439</v>
      </c>
    </row>
    <row r="37">
      <c r="A37" s="2" t="s">
        <v>437</v>
      </c>
      <c r="B37" s="2" t="s">
        <v>441</v>
      </c>
      <c r="C37" s="2" t="s">
        <v>16</v>
      </c>
      <c r="D37" s="2" t="s">
        <v>221</v>
      </c>
      <c r="E37" s="2" t="s">
        <v>211</v>
      </c>
      <c r="F37" s="2" t="s">
        <v>438</v>
      </c>
      <c r="G37" s="2" t="s">
        <v>401</v>
      </c>
      <c r="H37" s="2" t="s">
        <v>402</v>
      </c>
      <c r="I37" s="2" t="s">
        <v>403</v>
      </c>
      <c r="J37" s="2" t="s">
        <v>404</v>
      </c>
      <c r="O37" s="2" t="s">
        <v>439</v>
      </c>
    </row>
    <row r="38">
      <c r="A38" s="2" t="s">
        <v>437</v>
      </c>
      <c r="B38" s="2" t="s">
        <v>415</v>
      </c>
      <c r="C38" s="2" t="s">
        <v>27</v>
      </c>
      <c r="D38" s="2" t="s">
        <v>221</v>
      </c>
      <c r="E38" s="2" t="s">
        <v>211</v>
      </c>
      <c r="F38" s="2" t="s">
        <v>438</v>
      </c>
      <c r="G38" s="2" t="s">
        <v>401</v>
      </c>
      <c r="H38" s="2" t="s">
        <v>402</v>
      </c>
      <c r="I38" s="2" t="s">
        <v>403</v>
      </c>
      <c r="J38" s="2" t="s">
        <v>404</v>
      </c>
    </row>
    <row r="39">
      <c r="A39" s="2" t="s">
        <v>437</v>
      </c>
      <c r="B39" s="2" t="s">
        <v>417</v>
      </c>
      <c r="C39" s="2" t="s">
        <v>27</v>
      </c>
      <c r="D39" s="2" t="s">
        <v>221</v>
      </c>
      <c r="E39" s="2" t="s">
        <v>211</v>
      </c>
      <c r="F39" s="2" t="s">
        <v>438</v>
      </c>
      <c r="G39" s="2" t="s">
        <v>401</v>
      </c>
      <c r="H39" s="2" t="s">
        <v>402</v>
      </c>
      <c r="I39" s="2" t="s">
        <v>403</v>
      </c>
      <c r="J39" s="2" t="s">
        <v>404</v>
      </c>
      <c r="K39" s="2" t="s">
        <v>419</v>
      </c>
    </row>
    <row r="40">
      <c r="A40" s="2" t="s">
        <v>437</v>
      </c>
      <c r="B40" s="2" t="s">
        <v>413</v>
      </c>
      <c r="C40" s="2" t="s">
        <v>27</v>
      </c>
      <c r="D40" s="2" t="s">
        <v>209</v>
      </c>
      <c r="E40" s="2" t="s">
        <v>211</v>
      </c>
      <c r="F40" s="2" t="s">
        <v>440</v>
      </c>
      <c r="I40" s="2" t="s">
        <v>403</v>
      </c>
      <c r="J40" s="2" t="s">
        <v>404</v>
      </c>
      <c r="K40" s="2" t="s">
        <v>419</v>
      </c>
    </row>
    <row r="41">
      <c r="A41" s="2" t="s">
        <v>437</v>
      </c>
      <c r="B41" s="2" t="s">
        <v>416</v>
      </c>
      <c r="C41" s="2" t="s">
        <v>27</v>
      </c>
      <c r="D41" s="2" t="s">
        <v>209</v>
      </c>
      <c r="E41" s="2" t="s">
        <v>211</v>
      </c>
      <c r="F41" s="2" t="s">
        <v>440</v>
      </c>
      <c r="I41" s="2" t="s">
        <v>403</v>
      </c>
      <c r="J41" s="2" t="s">
        <v>404</v>
      </c>
      <c r="K41" s="2" t="s">
        <v>419</v>
      </c>
    </row>
    <row r="42">
      <c r="A42" s="2" t="s">
        <v>442</v>
      </c>
      <c r="B42" s="2" t="s">
        <v>398</v>
      </c>
      <c r="C42" s="2" t="s">
        <v>16</v>
      </c>
      <c r="D42" s="2" t="s">
        <v>221</v>
      </c>
      <c r="E42" s="2" t="s">
        <v>211</v>
      </c>
      <c r="F42" s="2" t="s">
        <v>443</v>
      </c>
      <c r="G42" s="2" t="s">
        <v>401</v>
      </c>
      <c r="H42" s="2" t="s">
        <v>402</v>
      </c>
      <c r="I42" s="2" t="s">
        <v>403</v>
      </c>
      <c r="J42" s="2" t="s">
        <v>414</v>
      </c>
      <c r="K42" s="2" t="s">
        <v>410</v>
      </c>
      <c r="L42" s="2">
        <v>80.0</v>
      </c>
      <c r="M42" s="2" t="s">
        <v>444</v>
      </c>
      <c r="N42" s="2" t="s">
        <v>27</v>
      </c>
      <c r="O42" s="2" t="s">
        <v>445</v>
      </c>
    </row>
    <row r="43">
      <c r="A43" s="2" t="s">
        <v>442</v>
      </c>
      <c r="B43" s="2" t="s">
        <v>408</v>
      </c>
      <c r="C43" s="2" t="s">
        <v>27</v>
      </c>
      <c r="D43" s="2" t="s">
        <v>221</v>
      </c>
      <c r="E43" s="2" t="s">
        <v>211</v>
      </c>
      <c r="F43" s="2" t="s">
        <v>443</v>
      </c>
      <c r="G43" s="2" t="s">
        <v>401</v>
      </c>
      <c r="H43" s="2" t="s">
        <v>402</v>
      </c>
      <c r="I43" s="2" t="s">
        <v>403</v>
      </c>
      <c r="J43" s="2" t="s">
        <v>414</v>
      </c>
      <c r="K43" s="2" t="s">
        <v>410</v>
      </c>
      <c r="N43" s="2" t="s">
        <v>16</v>
      </c>
    </row>
    <row r="44">
      <c r="A44" s="2" t="s">
        <v>442</v>
      </c>
      <c r="B44" s="2" t="s">
        <v>411</v>
      </c>
      <c r="C44" s="2" t="s">
        <v>16</v>
      </c>
      <c r="D44" s="2" t="s">
        <v>221</v>
      </c>
      <c r="E44" s="2" t="s">
        <v>211</v>
      </c>
      <c r="F44" s="2" t="s">
        <v>443</v>
      </c>
      <c r="G44" s="2" t="s">
        <v>401</v>
      </c>
      <c r="H44" s="2" t="s">
        <v>402</v>
      </c>
      <c r="I44" s="2" t="s">
        <v>403</v>
      </c>
      <c r="J44" s="2" t="s">
        <v>414</v>
      </c>
      <c r="K44" s="2" t="s">
        <v>410</v>
      </c>
      <c r="N44" s="2" t="s">
        <v>16</v>
      </c>
    </row>
    <row r="45">
      <c r="A45" s="2" t="s">
        <v>442</v>
      </c>
      <c r="B45" s="2" t="s">
        <v>423</v>
      </c>
      <c r="C45" s="2" t="s">
        <v>27</v>
      </c>
      <c r="D45" s="2" t="s">
        <v>221</v>
      </c>
      <c r="E45" s="2" t="s">
        <v>211</v>
      </c>
      <c r="F45" s="2" t="s">
        <v>443</v>
      </c>
      <c r="G45" s="2" t="s">
        <v>401</v>
      </c>
      <c r="H45" s="2" t="s">
        <v>402</v>
      </c>
      <c r="I45" s="2" t="s">
        <v>403</v>
      </c>
      <c r="J45" s="2" t="s">
        <v>414</v>
      </c>
      <c r="K45" s="2" t="s">
        <v>410</v>
      </c>
      <c r="N45" s="2" t="s">
        <v>16</v>
      </c>
    </row>
    <row r="46">
      <c r="A46" s="2" t="s">
        <v>442</v>
      </c>
      <c r="B46" s="2" t="s">
        <v>416</v>
      </c>
      <c r="C46" s="2" t="s">
        <v>27</v>
      </c>
      <c r="D46" s="2" t="s">
        <v>221</v>
      </c>
      <c r="E46" s="2" t="s">
        <v>211</v>
      </c>
      <c r="F46" s="2" t="s">
        <v>443</v>
      </c>
      <c r="G46" s="2" t="s">
        <v>401</v>
      </c>
      <c r="H46" s="2" t="s">
        <v>402</v>
      </c>
      <c r="I46" s="2" t="s">
        <v>403</v>
      </c>
      <c r="J46" s="2" t="s">
        <v>414</v>
      </c>
      <c r="K46" s="2" t="s">
        <v>410</v>
      </c>
      <c r="N46" s="2" t="s">
        <v>16</v>
      </c>
    </row>
    <row r="47">
      <c r="A47" s="2" t="s">
        <v>442</v>
      </c>
      <c r="B47" s="2" t="s">
        <v>415</v>
      </c>
      <c r="C47" s="2" t="s">
        <v>27</v>
      </c>
      <c r="D47" s="2" t="s">
        <v>221</v>
      </c>
      <c r="E47" s="2" t="s">
        <v>211</v>
      </c>
      <c r="F47" s="2" t="s">
        <v>446</v>
      </c>
      <c r="G47" s="2" t="s">
        <v>401</v>
      </c>
      <c r="H47" s="2" t="s">
        <v>402</v>
      </c>
      <c r="I47" s="2" t="s">
        <v>403</v>
      </c>
      <c r="J47" s="2" t="s">
        <v>414</v>
      </c>
      <c r="K47" s="2" t="s">
        <v>410</v>
      </c>
      <c r="L47" s="2">
        <v>80.0</v>
      </c>
      <c r="M47" s="2" t="s">
        <v>447</v>
      </c>
      <c r="N47" s="2" t="s">
        <v>27</v>
      </c>
      <c r="O47" s="2" t="s">
        <v>434</v>
      </c>
    </row>
    <row r="48">
      <c r="A48" s="2" t="s">
        <v>442</v>
      </c>
      <c r="B48" s="2" t="s">
        <v>413</v>
      </c>
      <c r="C48" s="2" t="s">
        <v>27</v>
      </c>
      <c r="D48" s="2" t="s">
        <v>221</v>
      </c>
      <c r="E48" s="2" t="s">
        <v>211</v>
      </c>
      <c r="F48" s="2" t="s">
        <v>443</v>
      </c>
      <c r="G48" s="2" t="s">
        <v>401</v>
      </c>
      <c r="H48" s="2" t="s">
        <v>402</v>
      </c>
      <c r="I48" s="2" t="s">
        <v>403</v>
      </c>
      <c r="J48" s="2" t="s">
        <v>414</v>
      </c>
      <c r="K48" s="2" t="s">
        <v>410</v>
      </c>
      <c r="L48" s="2">
        <v>80.0</v>
      </c>
      <c r="M48" s="2" t="s">
        <v>448</v>
      </c>
      <c r="N48" s="2" t="s">
        <v>27</v>
      </c>
      <c r="O48" s="2" t="s">
        <v>449</v>
      </c>
    </row>
    <row r="49">
      <c r="A49" s="2" t="s">
        <v>442</v>
      </c>
      <c r="B49" s="2" t="s">
        <v>417</v>
      </c>
      <c r="C49" s="2" t="s">
        <v>27</v>
      </c>
      <c r="D49" s="2" t="s">
        <v>221</v>
      </c>
      <c r="E49" s="2" t="s">
        <v>211</v>
      </c>
      <c r="F49" s="2" t="s">
        <v>443</v>
      </c>
      <c r="G49" s="2" t="s">
        <v>401</v>
      </c>
      <c r="H49" s="2" t="s">
        <v>402</v>
      </c>
      <c r="I49" s="2" t="s">
        <v>403</v>
      </c>
      <c r="J49" s="2" t="s">
        <v>414</v>
      </c>
      <c r="K49" s="2" t="s">
        <v>410</v>
      </c>
      <c r="N49" s="2" t="s">
        <v>16</v>
      </c>
    </row>
    <row r="50">
      <c r="A50" s="2" t="s">
        <v>450</v>
      </c>
      <c r="B50" s="2" t="s">
        <v>398</v>
      </c>
      <c r="C50" s="2" t="s">
        <v>16</v>
      </c>
      <c r="D50" s="2" t="s">
        <v>221</v>
      </c>
      <c r="E50" s="2" t="s">
        <v>211</v>
      </c>
      <c r="F50" s="2" t="s">
        <v>451</v>
      </c>
      <c r="G50" s="2" t="s">
        <v>401</v>
      </c>
      <c r="H50" s="2" t="s">
        <v>402</v>
      </c>
      <c r="I50" s="2" t="s">
        <v>403</v>
      </c>
      <c r="J50" s="2" t="s">
        <v>414</v>
      </c>
      <c r="K50" s="2" t="s">
        <v>410</v>
      </c>
      <c r="N50" s="2" t="s">
        <v>16</v>
      </c>
    </row>
    <row r="51">
      <c r="A51" s="2" t="s">
        <v>450</v>
      </c>
      <c r="B51" s="2" t="s">
        <v>408</v>
      </c>
      <c r="C51" s="2" t="s">
        <v>27</v>
      </c>
      <c r="D51" s="2" t="s">
        <v>221</v>
      </c>
      <c r="E51" s="2" t="s">
        <v>211</v>
      </c>
      <c r="F51" s="2" t="s">
        <v>451</v>
      </c>
      <c r="G51" s="2" t="s">
        <v>401</v>
      </c>
      <c r="H51" s="2" t="s">
        <v>402</v>
      </c>
      <c r="I51" s="2" t="s">
        <v>403</v>
      </c>
      <c r="J51" s="2" t="s">
        <v>414</v>
      </c>
      <c r="K51" s="2" t="s">
        <v>410</v>
      </c>
      <c r="N51" s="2" t="s">
        <v>16</v>
      </c>
    </row>
    <row r="52">
      <c r="A52" s="2" t="s">
        <v>450</v>
      </c>
      <c r="B52" s="2" t="s">
        <v>423</v>
      </c>
      <c r="C52" s="2" t="s">
        <v>27</v>
      </c>
      <c r="D52" s="2" t="s">
        <v>221</v>
      </c>
      <c r="E52" s="2" t="s">
        <v>211</v>
      </c>
      <c r="F52" s="2" t="s">
        <v>451</v>
      </c>
      <c r="G52" s="2" t="s">
        <v>401</v>
      </c>
      <c r="H52" s="2" t="s">
        <v>402</v>
      </c>
      <c r="I52" s="2" t="s">
        <v>403</v>
      </c>
      <c r="J52" s="2" t="s">
        <v>414</v>
      </c>
      <c r="K52" s="2" t="s">
        <v>410</v>
      </c>
      <c r="N52" s="2" t="s">
        <v>16</v>
      </c>
    </row>
    <row r="53">
      <c r="A53" s="2" t="s">
        <v>450</v>
      </c>
      <c r="B53" s="2" t="s">
        <v>412</v>
      </c>
      <c r="C53" s="2" t="s">
        <v>16</v>
      </c>
      <c r="D53" s="2" t="s">
        <v>221</v>
      </c>
      <c r="E53" s="2" t="s">
        <v>211</v>
      </c>
      <c r="F53" s="2" t="s">
        <v>451</v>
      </c>
      <c r="G53" s="2" t="s">
        <v>401</v>
      </c>
      <c r="J53" s="2" t="s">
        <v>414</v>
      </c>
      <c r="K53" s="2" t="s">
        <v>410</v>
      </c>
      <c r="N53" s="2" t="s">
        <v>16</v>
      </c>
    </row>
    <row r="54">
      <c r="A54" s="2" t="s">
        <v>450</v>
      </c>
      <c r="B54" s="2" t="s">
        <v>415</v>
      </c>
      <c r="C54" s="2" t="s">
        <v>27</v>
      </c>
      <c r="D54" s="2" t="s">
        <v>209</v>
      </c>
      <c r="E54" s="2" t="s">
        <v>211</v>
      </c>
      <c r="F54" s="2" t="s">
        <v>452</v>
      </c>
      <c r="J54" s="2" t="s">
        <v>453</v>
      </c>
      <c r="N54" s="2" t="s">
        <v>16</v>
      </c>
    </row>
    <row r="55">
      <c r="A55" s="2" t="s">
        <v>450</v>
      </c>
      <c r="B55" s="2" t="s">
        <v>413</v>
      </c>
      <c r="C55" s="2" t="s">
        <v>27</v>
      </c>
      <c r="D55" s="2" t="s">
        <v>309</v>
      </c>
      <c r="E55" s="2" t="s">
        <v>454</v>
      </c>
      <c r="J55" s="2" t="s">
        <v>453</v>
      </c>
      <c r="N55" s="2" t="s">
        <v>16</v>
      </c>
    </row>
    <row r="56">
      <c r="A56" s="2" t="s">
        <v>455</v>
      </c>
      <c r="B56" s="2" t="s">
        <v>408</v>
      </c>
      <c r="C56" s="2" t="s">
        <v>27</v>
      </c>
      <c r="D56" s="2" t="s">
        <v>221</v>
      </c>
      <c r="E56" s="2" t="s">
        <v>211</v>
      </c>
      <c r="F56" s="2" t="s">
        <v>456</v>
      </c>
      <c r="H56" s="2" t="s">
        <v>402</v>
      </c>
      <c r="I56" s="2" t="s">
        <v>403</v>
      </c>
      <c r="J56" s="2" t="s">
        <v>414</v>
      </c>
      <c r="K56" s="2" t="s">
        <v>419</v>
      </c>
      <c r="L56" s="2">
        <v>90.0</v>
      </c>
      <c r="M56" s="2" t="s">
        <v>457</v>
      </c>
      <c r="N56" s="2" t="s">
        <v>27</v>
      </c>
      <c r="O56" s="2" t="s">
        <v>434</v>
      </c>
    </row>
    <row r="57">
      <c r="A57" s="2" t="s">
        <v>455</v>
      </c>
      <c r="B57" s="2" t="s">
        <v>458</v>
      </c>
      <c r="C57" s="2" t="s">
        <v>16</v>
      </c>
      <c r="D57" s="2" t="s">
        <v>221</v>
      </c>
      <c r="E57" s="2" t="s">
        <v>211</v>
      </c>
      <c r="F57" s="2" t="s">
        <v>456</v>
      </c>
      <c r="H57" s="2" t="s">
        <v>402</v>
      </c>
      <c r="I57" s="2" t="s">
        <v>403</v>
      </c>
      <c r="J57" s="2" t="s">
        <v>414</v>
      </c>
      <c r="K57" s="2" t="s">
        <v>419</v>
      </c>
      <c r="L57" s="2">
        <v>90.0</v>
      </c>
      <c r="M57" s="2" t="s">
        <v>459</v>
      </c>
      <c r="N57" s="2" t="s">
        <v>27</v>
      </c>
      <c r="O57" s="2" t="s">
        <v>434</v>
      </c>
    </row>
    <row r="58">
      <c r="A58" s="2" t="s">
        <v>455</v>
      </c>
      <c r="B58" s="2" t="s">
        <v>460</v>
      </c>
      <c r="C58" s="2" t="s">
        <v>27</v>
      </c>
      <c r="D58" s="2" t="s">
        <v>221</v>
      </c>
      <c r="E58" s="2" t="s">
        <v>211</v>
      </c>
      <c r="F58" s="2" t="s">
        <v>456</v>
      </c>
      <c r="H58" s="2" t="s">
        <v>402</v>
      </c>
      <c r="I58" s="2" t="s">
        <v>403</v>
      </c>
      <c r="J58" s="2" t="s">
        <v>453</v>
      </c>
      <c r="K58" s="2" t="s">
        <v>419</v>
      </c>
      <c r="N58" s="2" t="s">
        <v>16</v>
      </c>
    </row>
    <row r="59">
      <c r="A59" s="2" t="s">
        <v>455</v>
      </c>
      <c r="B59" s="2" t="s">
        <v>461</v>
      </c>
      <c r="C59" s="2" t="s">
        <v>27</v>
      </c>
      <c r="D59" s="2" t="s">
        <v>209</v>
      </c>
      <c r="E59" s="2" t="s">
        <v>211</v>
      </c>
      <c r="I59" s="2" t="s">
        <v>403</v>
      </c>
      <c r="J59" s="2" t="s">
        <v>453</v>
      </c>
      <c r="K59" s="2" t="s">
        <v>419</v>
      </c>
      <c r="N59" s="2" t="s">
        <v>16</v>
      </c>
    </row>
    <row r="60">
      <c r="A60" s="2" t="s">
        <v>455</v>
      </c>
      <c r="B60" s="2" t="s">
        <v>416</v>
      </c>
      <c r="C60" s="2" t="s">
        <v>27</v>
      </c>
      <c r="D60" s="2" t="s">
        <v>221</v>
      </c>
      <c r="E60" s="2" t="s">
        <v>211</v>
      </c>
      <c r="F60" s="2" t="s">
        <v>456</v>
      </c>
      <c r="H60" s="2" t="s">
        <v>402</v>
      </c>
      <c r="I60" s="2" t="s">
        <v>403</v>
      </c>
      <c r="J60" s="2" t="s">
        <v>453</v>
      </c>
      <c r="K60" s="2" t="s">
        <v>419</v>
      </c>
      <c r="N60" s="2" t="s">
        <v>16</v>
      </c>
    </row>
    <row r="61">
      <c r="A61" s="2" t="s">
        <v>462</v>
      </c>
      <c r="B61" s="2" t="s">
        <v>441</v>
      </c>
      <c r="C61" s="2" t="s">
        <v>16</v>
      </c>
      <c r="D61" s="2" t="s">
        <v>463</v>
      </c>
      <c r="E61" s="2" t="s">
        <v>211</v>
      </c>
      <c r="F61" s="2" t="s">
        <v>464</v>
      </c>
      <c r="H61" s="2" t="s">
        <v>402</v>
      </c>
      <c r="I61" s="2" t="s">
        <v>403</v>
      </c>
      <c r="J61" s="2" t="s">
        <v>414</v>
      </c>
      <c r="K61" s="2" t="s">
        <v>410</v>
      </c>
      <c r="L61" s="2" t="s">
        <v>465</v>
      </c>
      <c r="M61" s="2" t="s">
        <v>466</v>
      </c>
      <c r="N61" s="2" t="s">
        <v>27</v>
      </c>
      <c r="O61" s="2" t="s">
        <v>467</v>
      </c>
    </row>
    <row r="62">
      <c r="A62" s="2" t="s">
        <v>462</v>
      </c>
      <c r="B62" s="2" t="s">
        <v>398</v>
      </c>
      <c r="C62" s="2" t="s">
        <v>16</v>
      </c>
      <c r="D62" s="2" t="s">
        <v>221</v>
      </c>
      <c r="E62" s="2" t="s">
        <v>211</v>
      </c>
      <c r="F62" s="2" t="s">
        <v>468</v>
      </c>
      <c r="G62" s="2" t="s">
        <v>401</v>
      </c>
      <c r="H62" s="2" t="s">
        <v>402</v>
      </c>
      <c r="I62" s="2" t="s">
        <v>403</v>
      </c>
      <c r="J62" s="2" t="s">
        <v>414</v>
      </c>
      <c r="K62" s="2" t="s">
        <v>410</v>
      </c>
      <c r="N62" s="2" t="s">
        <v>16</v>
      </c>
    </row>
    <row r="63">
      <c r="A63" s="2" t="s">
        <v>462</v>
      </c>
      <c r="B63" s="2" t="s">
        <v>408</v>
      </c>
      <c r="C63" s="2" t="s">
        <v>27</v>
      </c>
      <c r="D63" s="2" t="s">
        <v>221</v>
      </c>
      <c r="E63" s="2" t="s">
        <v>211</v>
      </c>
      <c r="F63" s="2" t="s">
        <v>468</v>
      </c>
      <c r="G63" s="2" t="s">
        <v>401</v>
      </c>
      <c r="H63" s="2" t="s">
        <v>402</v>
      </c>
      <c r="I63" s="2" t="s">
        <v>403</v>
      </c>
      <c r="J63" s="2" t="s">
        <v>414</v>
      </c>
      <c r="K63" s="2" t="s">
        <v>410</v>
      </c>
      <c r="N63" s="2" t="s">
        <v>16</v>
      </c>
    </row>
    <row r="64">
      <c r="A64" s="2" t="s">
        <v>462</v>
      </c>
      <c r="B64" s="2" t="s">
        <v>423</v>
      </c>
      <c r="C64" s="2" t="s">
        <v>27</v>
      </c>
      <c r="D64" s="2" t="s">
        <v>221</v>
      </c>
      <c r="E64" s="2" t="s">
        <v>211</v>
      </c>
      <c r="F64" s="2" t="s">
        <v>468</v>
      </c>
      <c r="G64" s="2" t="s">
        <v>401</v>
      </c>
      <c r="H64" s="2" t="s">
        <v>402</v>
      </c>
      <c r="I64" s="2" t="s">
        <v>403</v>
      </c>
      <c r="J64" s="2" t="s">
        <v>414</v>
      </c>
      <c r="K64" s="2" t="s">
        <v>410</v>
      </c>
      <c r="N64" s="2" t="s">
        <v>16</v>
      </c>
    </row>
    <row r="65">
      <c r="A65" s="2" t="s">
        <v>462</v>
      </c>
      <c r="B65" s="2" t="s">
        <v>415</v>
      </c>
      <c r="C65" s="2" t="s">
        <v>27</v>
      </c>
      <c r="D65" s="2" t="s">
        <v>221</v>
      </c>
      <c r="E65" s="2" t="s">
        <v>211</v>
      </c>
      <c r="F65" s="2" t="s">
        <v>468</v>
      </c>
      <c r="G65" s="2" t="s">
        <v>401</v>
      </c>
      <c r="H65" s="2" t="s">
        <v>402</v>
      </c>
      <c r="I65" s="2" t="s">
        <v>403</v>
      </c>
      <c r="J65" s="2" t="s">
        <v>414</v>
      </c>
      <c r="K65" s="2" t="s">
        <v>410</v>
      </c>
      <c r="N65" s="2" t="s">
        <v>16</v>
      </c>
      <c r="O65" s="2" t="s">
        <v>434</v>
      </c>
    </row>
    <row r="66">
      <c r="A66" s="2" t="s">
        <v>462</v>
      </c>
      <c r="B66" s="2" t="s">
        <v>418</v>
      </c>
      <c r="C66" s="2" t="s">
        <v>27</v>
      </c>
      <c r="D66" s="2" t="s">
        <v>209</v>
      </c>
      <c r="E66" s="2" t="s">
        <v>211</v>
      </c>
      <c r="F66" s="2" t="s">
        <v>469</v>
      </c>
      <c r="G66" s="2"/>
      <c r="H66" s="2"/>
      <c r="I66" s="2" t="s">
        <v>403</v>
      </c>
      <c r="J66" s="2" t="s">
        <v>414</v>
      </c>
      <c r="K66" s="2"/>
      <c r="N66" s="2"/>
      <c r="O66" s="2"/>
    </row>
    <row r="67">
      <c r="A67" s="2" t="s">
        <v>470</v>
      </c>
      <c r="B67" s="2" t="s">
        <v>408</v>
      </c>
      <c r="C67" s="2" t="s">
        <v>27</v>
      </c>
      <c r="D67" s="2" t="s">
        <v>221</v>
      </c>
      <c r="E67" s="2" t="s">
        <v>211</v>
      </c>
      <c r="F67" s="2" t="s">
        <v>471</v>
      </c>
      <c r="G67" s="2" t="s">
        <v>401</v>
      </c>
      <c r="H67" s="2" t="s">
        <v>402</v>
      </c>
      <c r="I67" s="2" t="s">
        <v>403</v>
      </c>
      <c r="J67" s="2" t="s">
        <v>414</v>
      </c>
      <c r="K67" s="2" t="s">
        <v>405</v>
      </c>
      <c r="L67" s="2">
        <v>90.0</v>
      </c>
      <c r="M67" s="2" t="s">
        <v>472</v>
      </c>
      <c r="N67" s="2" t="s">
        <v>27</v>
      </c>
      <c r="O67" s="2" t="s">
        <v>434</v>
      </c>
    </row>
    <row r="68">
      <c r="A68" s="2" t="s">
        <v>470</v>
      </c>
      <c r="B68" s="2" t="s">
        <v>458</v>
      </c>
      <c r="C68" s="2" t="s">
        <v>16</v>
      </c>
      <c r="D68" s="2" t="s">
        <v>221</v>
      </c>
      <c r="E68" s="2" t="s">
        <v>211</v>
      </c>
      <c r="F68" s="2" t="s">
        <v>471</v>
      </c>
      <c r="G68" s="2" t="s">
        <v>401</v>
      </c>
      <c r="H68" s="2" t="s">
        <v>402</v>
      </c>
      <c r="I68" s="2" t="s">
        <v>403</v>
      </c>
      <c r="J68" s="2" t="s">
        <v>414</v>
      </c>
      <c r="K68" s="2" t="s">
        <v>405</v>
      </c>
      <c r="L68" s="2">
        <v>90.0</v>
      </c>
      <c r="M68" s="2" t="s">
        <v>473</v>
      </c>
      <c r="N68" s="2" t="s">
        <v>27</v>
      </c>
    </row>
    <row r="69">
      <c r="A69" s="2" t="s">
        <v>470</v>
      </c>
      <c r="B69" s="2" t="s">
        <v>413</v>
      </c>
      <c r="C69" s="2" t="s">
        <v>27</v>
      </c>
      <c r="D69" s="2" t="s">
        <v>209</v>
      </c>
      <c r="E69" s="2" t="s">
        <v>211</v>
      </c>
      <c r="F69" s="2" t="s">
        <v>474</v>
      </c>
      <c r="J69" s="2" t="s">
        <v>453</v>
      </c>
      <c r="K69" s="2" t="s">
        <v>405</v>
      </c>
    </row>
    <row r="70">
      <c r="A70" s="2" t="s">
        <v>470</v>
      </c>
      <c r="B70" s="2" t="s">
        <v>416</v>
      </c>
      <c r="C70" s="2" t="s">
        <v>27</v>
      </c>
      <c r="D70" s="2" t="s">
        <v>209</v>
      </c>
      <c r="E70" s="2" t="s">
        <v>211</v>
      </c>
      <c r="F70" s="2" t="s">
        <v>474</v>
      </c>
      <c r="J70" s="2" t="s">
        <v>453</v>
      </c>
      <c r="K70" s="2" t="s">
        <v>405</v>
      </c>
    </row>
  </sheetData>
  <drawing r:id="rId1"/>
</worksheet>
</file>