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ies" sheetId="1" r:id="rId4"/>
    <sheet state="visible" name="Interventions" sheetId="2" r:id="rId5"/>
    <sheet state="visible" name="Dosing Schedule" sheetId="3" r:id="rId6"/>
    <sheet state="visible" name="Demographics" sheetId="4" r:id="rId7"/>
    <sheet state="visible" name="ADAS_Cog Baseline Patient Final" sheetId="5" r:id="rId8"/>
    <sheet state="visible" name="MMSE Baseline Patient Final Out" sheetId="6" r:id="rId9"/>
    <sheet state="visible" name="PET" sheetId="7" r:id="rId10"/>
    <sheet state="visible" name="Follow Up ADAS-COG Outcomes" sheetId="8" r:id="rId11"/>
    <sheet state="visible" name="Follow Up MMSE Outcomes" sheetId="9" r:id="rId12"/>
    <sheet state="visible" name="vMRI" sheetId="10" r:id="rId13"/>
    <sheet state="visible" name="CSF AB40" sheetId="11" r:id="rId14"/>
    <sheet state="visible" name="CSF AB42" sheetId="12" r:id="rId15"/>
    <sheet state="visible" name="CSF pTau181" sheetId="13" r:id="rId16"/>
    <sheet state="visible" name="plasma AB40" sheetId="14" r:id="rId17"/>
    <sheet state="visible" name="plasma AB42" sheetId="15" r:id="rId18"/>
    <sheet state="visible" name="plasma pTau181" sheetId="16" r:id="rId19"/>
    <sheet state="visible" name="safety" sheetId="17" r:id="rId20"/>
    <sheet state="visible" name="statistical models" sheetId="18" r:id="rId21"/>
  </sheets>
  <definedNames/>
  <calcPr/>
</workbook>
</file>

<file path=xl/sharedStrings.xml><?xml version="1.0" encoding="utf-8"?>
<sst xmlns="http://schemas.openxmlformats.org/spreadsheetml/2006/main" count="3123" uniqueCount="338">
  <si>
    <t>study_id</t>
  </si>
  <si>
    <t>trial_name</t>
  </si>
  <si>
    <t>arm_label</t>
  </si>
  <si>
    <t>author</t>
  </si>
  <si>
    <t xml:space="preserve">country </t>
  </si>
  <si>
    <t>multisite or single site</t>
  </si>
  <si>
    <t>sample_size</t>
  </si>
  <si>
    <t>completed_sample size</t>
  </si>
  <si>
    <t>follow up duration_wks</t>
  </si>
  <si>
    <t>discontinued?</t>
  </si>
  <si>
    <t>2018_Sal_Cre_01</t>
  </si>
  <si>
    <t>BLAZE</t>
  </si>
  <si>
    <t>LD_INT</t>
  </si>
  <si>
    <t>Stephen Salloway, Lee A. Honigberg, William Cho, Michael Ward, Michel Friesenhahn, Flavia Brunstein, Angelica Quartino, David Clayton, Deborah Mortensen, Tobias Bittner, Carole Ho, Christina Rabe, Stephen P. Schauer, Kristin R. Wildsmith, Reina N. Fuji, Shehnaaz Suliman, Eric M. Reiman, Kewei Chen and Robert Paul</t>
  </si>
  <si>
    <t>United States of America</t>
  </si>
  <si>
    <t>multisite</t>
  </si>
  <si>
    <t>no</t>
  </si>
  <si>
    <t>2018_Sal_Cre_02</t>
  </si>
  <si>
    <t>PLA</t>
  </si>
  <si>
    <t>2018_Sal_Cre_03</t>
  </si>
  <si>
    <t>HD_INT</t>
  </si>
  <si>
    <t>2018_Sal_Cre_04</t>
  </si>
  <si>
    <t>2024_Fle_Zag_01</t>
  </si>
  <si>
    <t>PERISCOPE-ALZ</t>
  </si>
  <si>
    <t>Adam S. Fleisher, MD, MAS, Leanne M. Munsie, BS, David G.S. Perahia, MD, Scott W. Andersen, MS, Ixavier A. Higgins, PhD, Paula M. Hauck, PhD, Albert C. Lo, MD, PhD, John R. Sims, MD, Miroslaw Brys, MD, PhD, and Mark Mintun, MD, for the PERISCOPE-ALZ Site Investigators</t>
  </si>
  <si>
    <t>2024_Fle_Zag_02</t>
  </si>
  <si>
    <t>2024_Fle_Zag_03</t>
  </si>
  <si>
    <t>2010_Rin_Bap_01</t>
  </si>
  <si>
    <t>INT_0.5</t>
  </si>
  <si>
    <t>Juha O Rinne, David J Brooks, Martin N Rossor, Nick C Fox, Roger Bullock, William E Klunk, Chester A Mathis, Kaj Blennow, Jerome Barakos, Aren A Okello, Sofia Rodriguez Martinez de LIano, Enchi Liu, Martin Koller, Keith M Gregg, Dale Schenk, Ronald Black, Michael Grundman</t>
  </si>
  <si>
    <t>Finland</t>
  </si>
  <si>
    <t>2010_Rin_Bap_02</t>
  </si>
  <si>
    <t>INT_1</t>
  </si>
  <si>
    <t>POOLED</t>
  </si>
  <si>
    <t>2010_Rin_Bap_03</t>
  </si>
  <si>
    <t>INT_2</t>
  </si>
  <si>
    <t>yes</t>
  </si>
  <si>
    <t>2010_Rin_Bap_04</t>
  </si>
  <si>
    <t>2022_Ten_Sem_01</t>
  </si>
  <si>
    <t>Tauriel</t>
  </si>
  <si>
    <t>INT_1500</t>
  </si>
  <si>
    <t>Edmond Teng, MD, PhD; Paul T. Manser, PhD; Karen Pickthorn, DVM; Flavia Brunstein, MD, PhD; Mira Blendstrup, MA; Sandra Sanabria Bohorquez, PhD; Kristin R. Wildsmith, PhD; Bali Toth, PhD; Michael Dolton, PhD; Vidya Ramakrishnan, PhD; Ashwini Bobbala, MS; Sietske A. M. Sikkes, PhD; Michael Ward, PhD; Reina N. Fuji, VMD, PhD; Geoffrey A. Kerchner, MD, PhD; for the Tauriel Investigators</t>
  </si>
  <si>
    <t>2022_Ten_Sem_02</t>
  </si>
  <si>
    <t>INT_4500</t>
  </si>
  <si>
    <t>2022_Ten_Sem_03</t>
  </si>
  <si>
    <t>INT_8100</t>
  </si>
  <si>
    <t>2022_Ten_Sem_04</t>
  </si>
  <si>
    <t>2023_Mon_Sem_01</t>
  </si>
  <si>
    <t>Lauriet</t>
  </si>
  <si>
    <t>INT</t>
  </si>
  <si>
    <t>Cecilia Monteiro, MD, PhD, Balazs Toth, MS, Flavia Brunstein, MD, Ashwini Bobbala, MS, Seema Datta, PhD, Ryan Ceniceros, BS, Sandra M. Sanabria Bohorquez, PhD, Veronica G. Anania, PhD, Kristin R. Wildsmith, PhD, Stephen P. Schauer, BA, Julie Lee, MS, Michael J. Dolton, PhD, Vidya Ramakrishnan, PhD, Daniel Abramzon, MS, and Edmond Teng, MD, PhD, for the Lauriet investigators</t>
  </si>
  <si>
    <t>2023_Mon_Sem_02</t>
  </si>
  <si>
    <t>2009_Sal_Bap_01</t>
  </si>
  <si>
    <t>INT_0.15</t>
  </si>
  <si>
    <t>S. Salloway, MD, MS, R. Sperling, MD, MMSc, S. Gilman, MD, FRCP, N. C. Fox, MD, FRCP, K. Blennow, MD, M. Raskind, MD, M. Sabbagh, MD, L. S. Honig, MD, PhD, R. Doody, MD, PhD, C. H. van Dyck, MD, R. Mulnard, DNSc, FAAN, J. Barakos, MD, K. M. Gregg, PhD, E. Liu, PhD, I. Lieberburg, MD, PhD, D. Schenk, PhD, R. Black, MD, M. Grundman, MD, MPH, and For the Bapineuzumab 201 Clinical Trial Investigators</t>
  </si>
  <si>
    <t>2009_Sal_Bap_02</t>
  </si>
  <si>
    <t>2009_Sal_Bap_03</t>
  </si>
  <si>
    <t>2009_Sal_Bap_04</t>
  </si>
  <si>
    <t>2009_Sal_Bap_05</t>
  </si>
  <si>
    <t>2018_Cum_Cre_01</t>
  </si>
  <si>
    <t>ABBY</t>
  </si>
  <si>
    <t>INT_LD</t>
  </si>
  <si>
    <t>Jeffrey L. Cummings, MD, ScD, Sharon Cohen, MD, Christopher H. van Dyck, MD, Mark Brody, MD, Craig Curtis, MD, William Cho, MD, Michael Ward, PhD, Michel Friesenhahn, MA, Christina Rabe, PhD, Flavia Brunstein, MD, PhD, Angelica Quartino, PhD, Lee A. Honigberg, PhD, Reina N. Fuji, VMD, PhD, David Clayton, PhD, Deborah Mortensen, PhD, Carole Ho, MD, and Robert Paul, MD</t>
  </si>
  <si>
    <t>2018_Cum_Cre_02</t>
  </si>
  <si>
    <t>PLA_LD</t>
  </si>
  <si>
    <t>2018_Cum_Cre_03</t>
  </si>
  <si>
    <t>INT_HD</t>
  </si>
  <si>
    <t>PLA_HD</t>
  </si>
  <si>
    <t>2023_Shu_Gos_01</t>
  </si>
  <si>
    <t>TANGO</t>
  </si>
  <si>
    <t xml:space="preserve">Melanie Shulman, Jessica Kong, John O’Gorman, Elena Ratti, Rajasimhan Rajagovindan, Louis Viollet, Ellen Huang, Sanjiv Sharma, Annie M. Racine, Julie Czerkowicz, Danielle Graham, Yumeng Li, Heike Hering &amp; Samantha Budd Haeberlein </t>
  </si>
  <si>
    <t>2023_Shu_Gos_02</t>
  </si>
  <si>
    <t>INT_ID</t>
  </si>
  <si>
    <t>2023_Shu_Gos_03</t>
  </si>
  <si>
    <t>2023_Shu_Gos_04</t>
  </si>
  <si>
    <t>2021_Swa_Lec_01</t>
  </si>
  <si>
    <t>Study 201</t>
  </si>
  <si>
    <t>INT_2.5</t>
  </si>
  <si>
    <t>Chad J. Swanson, Yong Zhang, Shobha Dhadda, Jinping Wang, June Kaplow, Robert Y. K. Lai, Lars Lannfelt, Heather Bradley, Martin Rabe, Akihiko Koyama, Larisa Reyderman, Donald A. Berry, Scott Berry, Robert Gordon, Lynn D. Kramer and Jeffrey L. Cummings</t>
  </si>
  <si>
    <t>2021_Swa_Lec_02</t>
  </si>
  <si>
    <t>INT_5a</t>
  </si>
  <si>
    <t>2021_Swa_Lec_03</t>
  </si>
  <si>
    <t>INT_5b</t>
  </si>
  <si>
    <t>2021_Swa_Lec_04</t>
  </si>
  <si>
    <t>INT_10a</t>
  </si>
  <si>
    <t>2021_Swa_Lec_05</t>
  </si>
  <si>
    <t>INT_10b</t>
  </si>
  <si>
    <t>2021_Swa_Lec_06</t>
  </si>
  <si>
    <t>study_ID</t>
  </si>
  <si>
    <t>dose_name_ID</t>
  </si>
  <si>
    <t>drug_name</t>
  </si>
  <si>
    <t>schedule_ref</t>
  </si>
  <si>
    <t>target_dose</t>
  </si>
  <si>
    <t>target_dose_unit</t>
  </si>
  <si>
    <t>target_interval_wks</t>
  </si>
  <si>
    <t>ApoE4_status</t>
  </si>
  <si>
    <t>mec_of_action</t>
  </si>
  <si>
    <t>crenezumab</t>
  </si>
  <si>
    <t>DosingSchedule</t>
  </si>
  <si>
    <t>mg</t>
  </si>
  <si>
    <t>mix</t>
  </si>
  <si>
    <t>mg/kg</t>
  </si>
  <si>
    <t>zagotenemab</t>
  </si>
  <si>
    <t>bapineuzumab</t>
  </si>
  <si>
    <t>semorinemab</t>
  </si>
  <si>
    <t>q4w</t>
  </si>
  <si>
    <t>gosuranemab</t>
  </si>
  <si>
    <t>q12w</t>
  </si>
  <si>
    <t>lecanemab</t>
  </si>
  <si>
    <t>study_name</t>
  </si>
  <si>
    <t>dose</t>
  </si>
  <si>
    <t>timepoints_wks</t>
  </si>
  <si>
    <t>interval_wks</t>
  </si>
  <si>
    <t>treatment_duration_wks</t>
  </si>
  <si>
    <t>notes</t>
  </si>
  <si>
    <t>Patients received study drug as a 1 h intravenous infusion every 13 weeks for up to six infusions.</t>
  </si>
  <si>
    <t>During the 73-week blinded study period, participants received intravenous infusions of placebo or semorinemab (1500 mg, 4500 mg, or 8100 mg) every 2 weeks for the first 3 infusions and every 4 weeks thereafter.</t>
  </si>
  <si>
    <t>Cohort 1 includes all participants who completed the originally planned 48 weeks of blinded treatment before the protocol amendment implementation and/ or who did not miss any blinded study drug doses.</t>
  </si>
  <si>
    <t>Cohort 2 includes all participants who missed at least 1 dose of blinded study drug due to the pandemic. For cohort 2 participants only, the double-blind treatment duration was extended to 60 weeks</t>
  </si>
  <si>
    <t>The study enrolled 234 patients, randomly assigned to IV bapineuzumab or placebo in 4 dose cohorts (0.15, 0.5, 1.0, or 2.0 mg/kg). Patients received 6 infusions, 13 weeks apart, with final assessments at week 78.</t>
  </si>
  <si>
    <t>Patients received low-dose subcutaneous crenezumab 300 mg or placebo every 2 weeks for 68 weeks.</t>
  </si>
  <si>
    <t>Patients received high-dose intravenous crenezumab 15 mg/kg or placebo every 4 weeks (n = 247) for 68 weeks.</t>
  </si>
  <si>
    <t>Low-dose gosuranemab (n = 58 in the 125 mg once every 4 weeks (q4w) subgroup</t>
  </si>
  <si>
    <t>Low-dose gosuranemab  (n = 58 in the 375 mg q12w subgroup)</t>
  </si>
  <si>
    <t>IV infusion. 2.5 mg/kg fortnightly. Americans so they say biweekly</t>
  </si>
  <si>
    <t>IV infusion.. 5mg/kg monthly</t>
  </si>
  <si>
    <t>IV infusion.. 5 mg/kg fortnightly</t>
  </si>
  <si>
    <t>IV infusion.. 10mg/kg monthly</t>
  </si>
  <si>
    <t>IV infusion.. 10mg/kg fortnightly</t>
  </si>
  <si>
    <t>dose_group_ID</t>
  </si>
  <si>
    <t xml:space="preserve">age </t>
  </si>
  <si>
    <t>sd</t>
  </si>
  <si>
    <t>female</t>
  </si>
  <si>
    <t>male</t>
  </si>
  <si>
    <t>ongoing AD treatment use at baseline (%)</t>
  </si>
  <si>
    <t>baseline_clinical stage_MCI</t>
  </si>
  <si>
    <t>no ε4 allele</t>
  </si>
  <si>
    <t>one or two ε4 allele</t>
  </si>
  <si>
    <t>unknown ε4 status</t>
  </si>
  <si>
    <t>n</t>
  </si>
  <si>
    <t>Sex (f), APoE4 status and baseline MCI given as a percentage</t>
  </si>
  <si>
    <t>POOLED INT AD therapies use</t>
  </si>
  <si>
    <t>POOLED PLA AD therapies use</t>
  </si>
  <si>
    <t>2010_Rin_Bap_INT_POOLED</t>
  </si>
  <si>
    <t>AChEI or memantine use</t>
  </si>
  <si>
    <t>Cohort 1 and 2</t>
  </si>
  <si>
    <t>All doses</t>
  </si>
  <si>
    <t>median age</t>
  </si>
  <si>
    <t>version</t>
  </si>
  <si>
    <t>mean</t>
  </si>
  <si>
    <t>Actually standard error provided not standard deviation</t>
  </si>
  <si>
    <t>dose_group_id</t>
  </si>
  <si>
    <t>arm</t>
  </si>
  <si>
    <t>pet_measure</t>
  </si>
  <si>
    <t>baseline</t>
  </si>
  <si>
    <t>time_wks</t>
  </si>
  <si>
    <t>estimate</t>
  </si>
  <si>
    <t>metric_type</t>
  </si>
  <si>
    <t>se_or_ci</t>
  </si>
  <si>
    <t>AB SUVR</t>
  </si>
  <si>
    <t>MMRM</t>
  </si>
  <si>
    <t>Cerebellar grey reference. Mean change</t>
  </si>
  <si>
    <t>95 % CI [-0.16, 0.02]</t>
  </si>
  <si>
    <t>Parametric images of regional cerebral glucose metabolism relative to the brainstem were made from brain ¹⁸F-FDG</t>
  </si>
  <si>
    <t>95 % CI [0.02, 0.28]</t>
  </si>
  <si>
    <t>POOLED both low dose groups</t>
  </si>
  <si>
    <t>N/A</t>
  </si>
  <si>
    <t>tau SUVR</t>
  </si>
  <si>
    <t>Adjusted mean MMRM</t>
  </si>
  <si>
    <t>Cerebellum Superior Cropped region</t>
  </si>
  <si>
    <t>MMRM LSM</t>
  </si>
  <si>
    <t>TAU SUVR</t>
  </si>
  <si>
    <t>n=66 at follow up</t>
  </si>
  <si>
    <t>n=63 at follow up</t>
  </si>
  <si>
    <t>n=62 at follow up</t>
  </si>
  <si>
    <t>Measured the mean absolute values for [18F]GTP1 standardized uptake value ratios (SUVRs) in the whole cortical gray region of interest</t>
  </si>
  <si>
    <t>95 % CI [0.04, 0.08]</t>
  </si>
  <si>
    <t>[18F] tau PET GTP1 WCG SUVR. Follow up reported as annualised change from baseline. This means the observed change over the 49 or 61 weeks was mathematically scaled to represent the change that would occur over a full year</t>
  </si>
  <si>
    <t>mild AD</t>
  </si>
  <si>
    <t>Percentage reduction</t>
  </si>
  <si>
    <t>95 % CI [6.867, 8.848]</t>
  </si>
  <si>
    <t>95 % CI [5.353, 7.262]</t>
  </si>
  <si>
    <t>95 % CI [6.176, 8.104]</t>
  </si>
  <si>
    <t>n=67 at follow up</t>
  </si>
  <si>
    <t>n=97 at follow up</t>
  </si>
  <si>
    <t>n= 66 at follow up</t>
  </si>
  <si>
    <t>n=94 at follow up</t>
  </si>
  <si>
    <t>Change from baseline to week 49 in the modified intent-to-treat (mITT) population</t>
  </si>
  <si>
    <t>Cohort 2</t>
  </si>
  <si>
    <t>obeserved mean change from baseline</t>
  </si>
  <si>
    <t>2009_Sal_Bap_01b</t>
  </si>
  <si>
    <t>PLA_0.15</t>
  </si>
  <si>
    <t>2009_Sal_Bap_02b</t>
  </si>
  <si>
    <t>PLA_0.5</t>
  </si>
  <si>
    <t>2009_Sal_Bap_03b</t>
  </si>
  <si>
    <t>PLA_1</t>
  </si>
  <si>
    <t>2009_Sal_Bap_04b</t>
  </si>
  <si>
    <t>PLA_2</t>
  </si>
  <si>
    <t>Both low dose groups</t>
  </si>
  <si>
    <t>adjusted mean change MMRM</t>
  </si>
  <si>
    <t>95 % CI [-4.994, -3.901]</t>
  </si>
  <si>
    <t>95 % CI [-4.4, -3.265]</t>
  </si>
  <si>
    <t>95 % CI [-4.858, -3.739]</t>
  </si>
  <si>
    <t>95 % CI [-3.51, -2.21]</t>
  </si>
  <si>
    <t>95 % CI [-3.76, -2.48]</t>
  </si>
  <si>
    <t>96 % CI [-4.00, -2.29]</t>
  </si>
  <si>
    <t>97 % CI [-5.14, -3.30]</t>
  </si>
  <si>
    <t>unit</t>
  </si>
  <si>
    <t>cm3</t>
  </si>
  <si>
    <t>dose_group</t>
  </si>
  <si>
    <t xml:space="preserve">n </t>
  </si>
  <si>
    <t>pg/ml</t>
  </si>
  <si>
    <t>q412</t>
  </si>
  <si>
    <t>se_or_sd_ci</t>
  </si>
  <si>
    <t>mean absolute value</t>
  </si>
  <si>
    <t>ng/ml</t>
  </si>
  <si>
    <t>Concentration increase to after 68 weeks of treatment</t>
  </si>
  <si>
    <t xml:space="preserve">LSM changes from baseline </t>
  </si>
  <si>
    <t>sae_n</t>
  </si>
  <si>
    <t>sae_rate</t>
  </si>
  <si>
    <t>ariae_%</t>
  </si>
  <si>
    <t>ariah_%</t>
  </si>
  <si>
    <t>discon_n</t>
  </si>
  <si>
    <t>discont_rate</t>
  </si>
  <si>
    <t>median_t_events_wks</t>
  </si>
  <si>
    <t>note</t>
  </si>
  <si>
    <t>POOLED ARIAH INT OVERALL</t>
  </si>
  <si>
    <t>All documented ARIA-H cases were asymptomatic and classified as NCI-CTCAE Grade 1 AEs, with only one case being NCI-CTCAE Grade 2 severity</t>
  </si>
  <si>
    <t>POOLED ARIAH PLA OVERALL</t>
  </si>
  <si>
    <t>These rates are for the modified intention-to-treat population</t>
  </si>
  <si>
    <t>POOLED_INT</t>
  </si>
  <si>
    <t>These rates are for the modified intention-to-treat population. ARIAE: asymptomatic, were APOE ε4 carriers, and the oedema resolved after treatment discontinuation</t>
  </si>
  <si>
    <t>an asymptomatic sulcal effusion that resolved spontaneously</t>
  </si>
  <si>
    <t>MRI abnormalities were reported as occurring at slightly higher rates in the placebo arm than in the semorinemab arm, consisting mainly of microhemorrhages. However, specific counts or percentages for microhemorrhages were not provided</t>
  </si>
  <si>
    <t>The total number of patients who received at least one dose of crenezumab or placebo in this trial was 431</t>
  </si>
  <si>
    <t>POOLED discon_n INT</t>
  </si>
  <si>
    <t>The total number of patients who received at least one dose of crenezumab or placebo in this trial was 431. ARIAE: Observed in the high-dose intravenous (IV) 15 mg/kg crenezumab cohort in an APOE e4 homozygous female patient</t>
  </si>
  <si>
    <t>POOLED discon_n PLA</t>
  </si>
  <si>
    <t>POOLED q4w and q12w</t>
  </si>
  <si>
    <t>ARIAE: severe</t>
  </si>
  <si>
    <t>ARIAE: mild</t>
  </si>
  <si>
    <t>ARIAE: moderate and severe</t>
  </si>
  <si>
    <t>outcome</t>
  </si>
  <si>
    <t>include_in_simulation</t>
  </si>
  <si>
    <t>model_type</t>
  </si>
  <si>
    <t>dependent_var</t>
  </si>
  <si>
    <t>fixed_effects</t>
  </si>
  <si>
    <t>random_effects</t>
  </si>
  <si>
    <t>covariance_structure</t>
  </si>
  <si>
    <t>visit_variable</t>
  </si>
  <si>
    <t>population</t>
  </si>
  <si>
    <t>power_target (%)</t>
  </si>
  <si>
    <t>effectsize_target</t>
  </si>
  <si>
    <t>powered_for_efficacy</t>
  </si>
  <si>
    <t>2018_Sal_Cre</t>
  </si>
  <si>
    <t>ADAS</t>
  </si>
  <si>
    <t>change from baseline</t>
  </si>
  <si>
    <t>intercept; baseline value; APOEε4 carrier vs non-carrier; MMSE strata (&lt; 22 vs ≥ 22); APOEε4 strata by MMSE strata interaction; treatment arm; categorical visit term; treatment-by-visit interaction</t>
  </si>
  <si>
    <t>visit_week</t>
  </si>
  <si>
    <t>mITT</t>
  </si>
  <si>
    <t>se</t>
  </si>
  <si>
    <t>CSF AB42</t>
  </si>
  <si>
    <t>ANCOVA</t>
  </si>
  <si>
    <t>intercept; baseline value; APOEε4 carrier vs non-carrier; MMSE strata (&lt; 22 vs ≥ 22); APOEε4 strata by MMSE strata interaction; treatment arm</t>
  </si>
  <si>
    <t>FDG AB PET</t>
  </si>
  <si>
    <t>ΔMeansuvr= 0.3</t>
  </si>
  <si>
    <t>The sample size for the primary endpoint (change in florbetapir PET SUVRs) was determined to achieve a certain precision in the estimation of the treatment effect</t>
  </si>
  <si>
    <t>CDR-SB</t>
  </si>
  <si>
    <t>CSF t-tau</t>
  </si>
  <si>
    <t>CSF p-tau</t>
  </si>
  <si>
    <t>2024_Fle_Zag</t>
  </si>
  <si>
    <t>iADRS</t>
  </si>
  <si>
    <t>Bayesian DPM</t>
  </si>
  <si>
    <t>time</t>
  </si>
  <si>
    <t>miTT</t>
  </si>
  <si>
    <t>neither*</t>
  </si>
  <si>
    <t>25% slowing of disease progression on the iADRS</t>
  </si>
  <si>
    <t>the study reported the mean disease progression ratio with 95% credible intervals</t>
  </si>
  <si>
    <t>pooled investigator; baseline score; age at baseline; concomitant use of acetylcholinesterase inhibitors and/or memantine at baseline; treatment; visit;  treatment-by-visit interaction; baseline-by-visit interaction</t>
  </si>
  <si>
    <t>PAS</t>
  </si>
  <si>
    <t>PAS: primary analysis set</t>
  </si>
  <si>
    <t>ADCS-iADL</t>
  </si>
  <si>
    <t>MMSE</t>
  </si>
  <si>
    <t>biomarkers of AD pathology</t>
  </si>
  <si>
    <t>Analyses did not demonstrate a treatment effect so they didn't elaborate.</t>
  </si>
  <si>
    <t>2010_Rin_Bap</t>
  </si>
  <si>
    <t>¹¹C-PiB cortical to cerebellar retention ratio</t>
  </si>
  <si>
    <t>treatment group; screening ¹¹C-PiB PET value as a continuous covariate; baseline MMSE category (high [22–26] vs low [18–21]); visit week; the interaction between treatment and visit week</t>
  </si>
  <si>
    <t>a prespecified set from AIC</t>
  </si>
  <si>
    <t>ci</t>
  </si>
  <si>
    <t>&gt;97</t>
  </si>
  <si>
    <t>Δ ¹¹C-PiB retention=0.25</t>
  </si>
  <si>
    <t>vMRI</t>
  </si>
  <si>
    <t>treatment (pooled bapineuzumab vs pooled placebo); screening/baseline value of the respective endpoint; baseline MMSE category</t>
  </si>
  <si>
    <t>2022_Ten_Sem</t>
  </si>
  <si>
    <t>respective baseline value; age; apoe4 status; diagnosis (prodromal vs mild AD)</t>
  </si>
  <si>
    <t>unstructured</t>
  </si>
  <si>
    <t>Mean ΔCDR-SB = 0.6 points (40% reduction vs 1.5-point placebo increase)</t>
  </si>
  <si>
    <t>α level of 0.2</t>
  </si>
  <si>
    <t>safety</t>
  </si>
  <si>
    <t>n_saes</t>
  </si>
  <si>
    <t>RBANS</t>
  </si>
  <si>
    <t>ADCS-ADL</t>
  </si>
  <si>
    <t>A-IADL-Q</t>
  </si>
  <si>
    <t>2023_Mon_Sem</t>
  </si>
  <si>
    <t>intercept; baseline value; APOE4 strata; baseline disease severity (MMSE 16-18 vs 19-21); baseline use of antidementia medication (present or absent); categorical visit terms; treatment group; baseline age; treatment-by-visit interactions</t>
  </si>
  <si>
    <t>Mean ΔADAS-Cog11 = 2.1 points (35% reduction vs 6-point placebo decline)</t>
  </si>
  <si>
    <t>2-sided α level of 0.2</t>
  </si>
  <si>
    <t>2009_Sal_Bap</t>
  </si>
  <si>
    <t>RM linear mixed effect model</t>
  </si>
  <si>
    <t>baseline MMSE score stratum; baseline value of the efficacy variable; treatment; time as a continuous variable; the interaction between treatment and time</t>
  </si>
  <si>
    <t>both</t>
  </si>
  <si>
    <t>DAD</t>
  </si>
  <si>
    <t>baseline MMSE score stratum; baseline value of the efficacy variable; treatment; time as a continuous variable; the interaction between treatment and time; apoe4 carrier status; apoe4 carrier status by time; treatment; treatment-by-time interaction</t>
  </si>
  <si>
    <t>CSF AB40</t>
  </si>
  <si>
    <t>CSF pTau181</t>
  </si>
  <si>
    <t>2018_Cum_Cre</t>
  </si>
  <si>
    <t>intercept; apoe4 status; mmse score strata (&lt;22 vs. ≥22); APOEε4 strata by MMSE strata interaction; treatment arm; categorical visit term; treatment-by-visit interation</t>
  </si>
  <si>
    <t>Mean ΔADAS-Cog12 = 3.6 points (60% reduction vs 6-point placebo decline)</t>
  </si>
  <si>
    <t>Mean ΔCDR-SB = 1.2 points (50% reduction vs 2.4-point placebo decline)</t>
  </si>
  <si>
    <t>FAS: full analysis set</t>
  </si>
  <si>
    <t>2023_Shu_Gos</t>
  </si>
  <si>
    <t>safety and tolerability</t>
  </si>
  <si>
    <t>n_aes and n_saes</t>
  </si>
  <si>
    <t>FAS</t>
  </si>
  <si>
    <t>treatment; time as a categorical variable; treatment-by-time interaction; baseline value of the parameter of interest; baseline value of the parameter of interest-by-time interaction; baseline mmse score; region (japana and australia combined); disease stage; baseline AD symptomatic medication use (yes or no)</t>
  </si>
  <si>
    <t>Mean ΔCDR-SB = 0.8 points (40% reduction vs 1.99-point placebo change)</t>
  </si>
  <si>
    <t>immunogenecity</t>
  </si>
  <si>
    <t>incidencee of anti-mab antibody responses in serum over time</t>
  </si>
  <si>
    <t>incidence rate</t>
  </si>
  <si>
    <t>random intercept + slope</t>
  </si>
  <si>
    <t>treatment; time as a categorical variable; treatment-by-time interaction; baseline value of the parameter of interest; baseline value of the parameter of interest-by-time interaction; baseline mmse score; region (japana and australia combined); disease stage; baseline AD symptomatic medication use (yes or no); age</t>
  </si>
  <si>
    <t>tau PET</t>
  </si>
  <si>
    <t>2021_Swa_Lec</t>
  </si>
  <si>
    <t>AB PET</t>
  </si>
  <si>
    <t>treatment group; vist (as a categorical variable); clinical subgroup; presence or absence of ongong AD treatment at baseline; APOE4 status; world region; treatment group-by-visit interaction; baseline value of specific endpoint</t>
  </si>
  <si>
    <t>Frequentist analyses only</t>
  </si>
  <si>
    <t>ADCOMS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</si>
</sst>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Arial"/>
      <scheme val="minor"/>
    </font>
    <font>
      <b/>
      <color theme="1"/>
      <name val="Arial"/>
      <scheme val="minor"/>
    </font>
    <font>
      <sz val="11.0"/>
      <color rgb="FF131314"/>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1" numFmtId="0" xfId="0" applyAlignment="1" applyFont="1">
      <alignment readingOrder="0" vertical="bottom"/>
    </xf>
    <xf borderId="0" fillId="0" fontId="4" numFmtId="0" xfId="0" applyAlignment="1" applyFont="1">
      <alignment readingOrder="0"/>
    </xf>
    <xf borderId="0" fillId="0" fontId="3" numFmtId="0" xfId="0" applyFont="1"/>
    <xf borderId="0" fillId="0" fontId="4" numFmtId="0" xfId="0" applyFont="1"/>
    <xf borderId="0" fillId="2"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3"/>
      <c r="L1" s="3"/>
      <c r="M1" s="3"/>
      <c r="N1" s="3"/>
      <c r="O1" s="3"/>
      <c r="P1" s="3"/>
      <c r="Q1" s="3"/>
      <c r="R1" s="3"/>
      <c r="S1" s="3"/>
      <c r="T1" s="3"/>
      <c r="U1" s="3"/>
      <c r="V1" s="3"/>
      <c r="W1" s="3"/>
      <c r="X1" s="3"/>
      <c r="Y1" s="3"/>
      <c r="Z1" s="3"/>
    </row>
    <row r="2">
      <c r="A2" s="4" t="s">
        <v>10</v>
      </c>
      <c r="B2" s="4" t="s">
        <v>11</v>
      </c>
      <c r="C2" s="4" t="s">
        <v>12</v>
      </c>
      <c r="D2" s="4" t="s">
        <v>13</v>
      </c>
      <c r="E2" s="4" t="s">
        <v>14</v>
      </c>
      <c r="F2" s="4" t="s">
        <v>15</v>
      </c>
      <c r="G2" s="4">
        <v>26.0</v>
      </c>
      <c r="H2" s="4">
        <v>23.0</v>
      </c>
      <c r="I2" s="4">
        <v>6.0</v>
      </c>
      <c r="J2" s="4" t="s">
        <v>16</v>
      </c>
    </row>
    <row r="3">
      <c r="A3" s="4" t="s">
        <v>17</v>
      </c>
      <c r="B3" s="4" t="s">
        <v>11</v>
      </c>
      <c r="C3" s="4" t="s">
        <v>18</v>
      </c>
      <c r="D3" s="4" t="s">
        <v>13</v>
      </c>
      <c r="E3" s="4" t="s">
        <v>14</v>
      </c>
      <c r="F3" s="4" t="s">
        <v>15</v>
      </c>
      <c r="G3" s="4">
        <v>13.0</v>
      </c>
      <c r="H3" s="4">
        <v>10.0</v>
      </c>
      <c r="I3" s="4">
        <v>6.0</v>
      </c>
      <c r="J3" s="4" t="s">
        <v>16</v>
      </c>
    </row>
    <row r="4">
      <c r="A4" s="4" t="s">
        <v>19</v>
      </c>
      <c r="B4" s="4" t="s">
        <v>11</v>
      </c>
      <c r="C4" s="4" t="s">
        <v>20</v>
      </c>
      <c r="D4" s="4" t="s">
        <v>13</v>
      </c>
      <c r="E4" s="4" t="s">
        <v>14</v>
      </c>
      <c r="F4" s="4" t="s">
        <v>15</v>
      </c>
      <c r="G4" s="4">
        <v>35.0</v>
      </c>
      <c r="H4" s="4">
        <v>21.0</v>
      </c>
      <c r="I4" s="4">
        <v>6.0</v>
      </c>
      <c r="J4" s="4" t="s">
        <v>16</v>
      </c>
    </row>
    <row r="5">
      <c r="A5" s="4" t="s">
        <v>21</v>
      </c>
      <c r="B5" s="4" t="s">
        <v>11</v>
      </c>
      <c r="C5" s="4" t="s">
        <v>18</v>
      </c>
      <c r="D5" s="4" t="s">
        <v>13</v>
      </c>
      <c r="E5" s="4" t="s">
        <v>14</v>
      </c>
      <c r="F5" s="4" t="s">
        <v>15</v>
      </c>
      <c r="G5" s="4">
        <v>17.0</v>
      </c>
      <c r="H5" s="4">
        <v>10.0</v>
      </c>
      <c r="I5" s="4">
        <v>6.0</v>
      </c>
      <c r="J5" s="4" t="s">
        <v>16</v>
      </c>
    </row>
    <row r="6">
      <c r="A6" s="4" t="s">
        <v>22</v>
      </c>
      <c r="B6" s="4" t="s">
        <v>23</v>
      </c>
      <c r="C6" s="4" t="s">
        <v>12</v>
      </c>
      <c r="D6" s="4" t="s">
        <v>24</v>
      </c>
      <c r="E6" s="4" t="s">
        <v>14</v>
      </c>
      <c r="F6" s="4" t="s">
        <v>15</v>
      </c>
      <c r="G6" s="4">
        <v>126.0</v>
      </c>
      <c r="H6" s="4">
        <v>76.0</v>
      </c>
      <c r="I6" s="4">
        <v>4.0</v>
      </c>
      <c r="J6" s="4" t="s">
        <v>16</v>
      </c>
    </row>
    <row r="7">
      <c r="A7" s="4" t="s">
        <v>25</v>
      </c>
      <c r="B7" s="4" t="s">
        <v>23</v>
      </c>
      <c r="C7" s="4" t="s">
        <v>20</v>
      </c>
      <c r="D7" s="4" t="s">
        <v>24</v>
      </c>
      <c r="E7" s="4" t="s">
        <v>14</v>
      </c>
      <c r="F7" s="4" t="s">
        <v>15</v>
      </c>
      <c r="G7" s="4">
        <v>116.0</v>
      </c>
      <c r="H7" s="4">
        <v>72.0</v>
      </c>
      <c r="I7" s="4">
        <v>4.0</v>
      </c>
      <c r="J7" s="4" t="s">
        <v>16</v>
      </c>
    </row>
    <row r="8">
      <c r="A8" s="4" t="s">
        <v>26</v>
      </c>
      <c r="B8" s="4" t="s">
        <v>23</v>
      </c>
      <c r="C8" s="4" t="s">
        <v>18</v>
      </c>
      <c r="D8" s="4" t="s">
        <v>24</v>
      </c>
      <c r="E8" s="4" t="s">
        <v>14</v>
      </c>
      <c r="F8" s="4" t="s">
        <v>15</v>
      </c>
      <c r="G8" s="4">
        <v>118.0</v>
      </c>
      <c r="H8" s="4">
        <v>70.0</v>
      </c>
      <c r="I8" s="4">
        <v>4.0</v>
      </c>
      <c r="J8" s="4" t="s">
        <v>16</v>
      </c>
    </row>
    <row r="9">
      <c r="A9" s="4" t="s">
        <v>27</v>
      </c>
      <c r="C9" s="4" t="s">
        <v>28</v>
      </c>
      <c r="D9" s="4" t="s">
        <v>29</v>
      </c>
      <c r="E9" s="4" t="s">
        <v>30</v>
      </c>
      <c r="F9" s="4" t="s">
        <v>15</v>
      </c>
      <c r="G9" s="4">
        <v>7.0</v>
      </c>
      <c r="H9" s="4">
        <v>15.0</v>
      </c>
      <c r="I9" s="4">
        <v>0.0</v>
      </c>
      <c r="J9" s="4" t="s">
        <v>16</v>
      </c>
    </row>
    <row r="10">
      <c r="A10" s="4" t="s">
        <v>31</v>
      </c>
      <c r="C10" s="4" t="s">
        <v>32</v>
      </c>
      <c r="D10" s="4" t="s">
        <v>29</v>
      </c>
      <c r="E10" s="4" t="s">
        <v>30</v>
      </c>
      <c r="F10" s="4" t="s">
        <v>15</v>
      </c>
      <c r="G10" s="4">
        <v>7.0</v>
      </c>
      <c r="H10" s="4" t="s">
        <v>33</v>
      </c>
      <c r="I10" s="4">
        <v>0.0</v>
      </c>
      <c r="J10" s="4" t="s">
        <v>16</v>
      </c>
    </row>
    <row r="11">
      <c r="A11" s="4" t="s">
        <v>34</v>
      </c>
      <c r="C11" s="4" t="s">
        <v>35</v>
      </c>
      <c r="D11" s="4" t="s">
        <v>29</v>
      </c>
      <c r="E11" s="4" t="s">
        <v>30</v>
      </c>
      <c r="F11" s="4" t="s">
        <v>15</v>
      </c>
      <c r="G11" s="4">
        <v>6.0</v>
      </c>
      <c r="H11" s="4" t="s">
        <v>33</v>
      </c>
      <c r="I11" s="4">
        <v>0.0</v>
      </c>
      <c r="J11" s="4" t="s">
        <v>36</v>
      </c>
    </row>
    <row r="12">
      <c r="A12" s="4" t="s">
        <v>37</v>
      </c>
      <c r="C12" s="4" t="s">
        <v>18</v>
      </c>
      <c r="D12" s="4" t="s">
        <v>29</v>
      </c>
      <c r="E12" s="4" t="s">
        <v>30</v>
      </c>
      <c r="F12" s="4" t="s">
        <v>15</v>
      </c>
      <c r="G12" s="4">
        <v>8.0</v>
      </c>
      <c r="H12" s="4">
        <v>5.0</v>
      </c>
      <c r="I12" s="4">
        <v>0.0</v>
      </c>
      <c r="J12" s="4" t="s">
        <v>16</v>
      </c>
    </row>
    <row r="13">
      <c r="A13" s="4" t="s">
        <v>38</v>
      </c>
      <c r="B13" s="4" t="s">
        <v>39</v>
      </c>
      <c r="C13" s="4" t="s">
        <v>40</v>
      </c>
      <c r="D13" s="4" t="s">
        <v>41</v>
      </c>
      <c r="E13" s="4" t="s">
        <v>14</v>
      </c>
      <c r="F13" s="4" t="s">
        <v>15</v>
      </c>
      <c r="G13" s="4">
        <v>90.0</v>
      </c>
      <c r="H13" s="4">
        <v>78.0</v>
      </c>
      <c r="I13" s="4">
        <v>0.0</v>
      </c>
      <c r="J13" s="4" t="s">
        <v>16</v>
      </c>
    </row>
    <row r="14">
      <c r="A14" s="4" t="s">
        <v>42</v>
      </c>
      <c r="B14" s="4" t="s">
        <v>39</v>
      </c>
      <c r="C14" s="4" t="s">
        <v>43</v>
      </c>
      <c r="D14" s="4" t="s">
        <v>41</v>
      </c>
      <c r="E14" s="4" t="s">
        <v>14</v>
      </c>
      <c r="F14" s="4" t="s">
        <v>15</v>
      </c>
      <c r="G14" s="4">
        <v>131.0</v>
      </c>
      <c r="H14" s="4">
        <v>113.0</v>
      </c>
      <c r="I14" s="4">
        <v>0.0</v>
      </c>
      <c r="J14" s="4" t="s">
        <v>16</v>
      </c>
    </row>
    <row r="15">
      <c r="A15" s="4" t="s">
        <v>44</v>
      </c>
      <c r="B15" s="4" t="s">
        <v>39</v>
      </c>
      <c r="C15" s="4" t="s">
        <v>45</v>
      </c>
      <c r="D15" s="4" t="s">
        <v>41</v>
      </c>
      <c r="E15" s="4" t="s">
        <v>14</v>
      </c>
      <c r="F15" s="4" t="s">
        <v>15</v>
      </c>
      <c r="G15" s="4">
        <v>90.0</v>
      </c>
      <c r="H15" s="4">
        <v>73.0</v>
      </c>
      <c r="I15" s="4">
        <v>0.0</v>
      </c>
      <c r="J15" s="4" t="s">
        <v>16</v>
      </c>
    </row>
    <row r="16">
      <c r="A16" s="4" t="s">
        <v>46</v>
      </c>
      <c r="B16" s="4" t="s">
        <v>39</v>
      </c>
      <c r="C16" s="4" t="s">
        <v>18</v>
      </c>
      <c r="D16" s="4" t="s">
        <v>41</v>
      </c>
      <c r="E16" s="4" t="s">
        <v>14</v>
      </c>
      <c r="F16" s="4" t="s">
        <v>15</v>
      </c>
      <c r="G16" s="4">
        <v>130.0</v>
      </c>
      <c r="H16" s="4">
        <v>106.0</v>
      </c>
      <c r="I16" s="4">
        <v>0.0</v>
      </c>
      <c r="J16" s="4" t="s">
        <v>16</v>
      </c>
    </row>
    <row r="17">
      <c r="A17" s="4" t="s">
        <v>47</v>
      </c>
      <c r="B17" s="4" t="s">
        <v>48</v>
      </c>
      <c r="C17" s="4" t="s">
        <v>49</v>
      </c>
      <c r="D17" s="4" t="s">
        <v>50</v>
      </c>
      <c r="E17" s="4" t="s">
        <v>14</v>
      </c>
      <c r="F17" s="4" t="s">
        <v>15</v>
      </c>
      <c r="G17" s="4">
        <v>136.0</v>
      </c>
      <c r="H17" s="4">
        <v>108.0</v>
      </c>
      <c r="I17" s="4">
        <v>1.0</v>
      </c>
      <c r="J17" s="4" t="s">
        <v>16</v>
      </c>
    </row>
    <row r="18">
      <c r="A18" s="4" t="s">
        <v>51</v>
      </c>
      <c r="B18" s="4" t="s">
        <v>48</v>
      </c>
      <c r="C18" s="4" t="s">
        <v>18</v>
      </c>
      <c r="D18" s="4" t="s">
        <v>50</v>
      </c>
      <c r="E18" s="4" t="s">
        <v>14</v>
      </c>
      <c r="F18" s="4" t="s">
        <v>15</v>
      </c>
      <c r="G18" s="4">
        <v>136.0</v>
      </c>
      <c r="H18" s="4">
        <v>100.0</v>
      </c>
      <c r="I18" s="4">
        <v>1.0</v>
      </c>
      <c r="J18" s="4" t="s">
        <v>16</v>
      </c>
    </row>
    <row r="19">
      <c r="A19" s="4" t="s">
        <v>52</v>
      </c>
      <c r="C19" s="4" t="s">
        <v>53</v>
      </c>
      <c r="D19" s="4" t="s">
        <v>54</v>
      </c>
      <c r="E19" s="4" t="s">
        <v>14</v>
      </c>
      <c r="F19" s="4" t="s">
        <v>15</v>
      </c>
      <c r="G19" s="4">
        <v>31.0</v>
      </c>
      <c r="H19" s="4">
        <v>24.0</v>
      </c>
      <c r="I19" s="4">
        <v>6.0</v>
      </c>
      <c r="J19" s="4" t="s">
        <v>16</v>
      </c>
    </row>
    <row r="20">
      <c r="A20" s="4" t="s">
        <v>55</v>
      </c>
      <c r="C20" s="4" t="s">
        <v>28</v>
      </c>
      <c r="D20" s="4" t="s">
        <v>54</v>
      </c>
      <c r="E20" s="4" t="s">
        <v>14</v>
      </c>
      <c r="F20" s="4" t="s">
        <v>15</v>
      </c>
      <c r="G20" s="4">
        <v>33.0</v>
      </c>
      <c r="H20" s="4">
        <v>18.0</v>
      </c>
      <c r="I20" s="4">
        <v>6.0</v>
      </c>
      <c r="J20" s="4" t="s">
        <v>16</v>
      </c>
    </row>
    <row r="21">
      <c r="A21" s="4" t="s">
        <v>56</v>
      </c>
      <c r="C21" s="4" t="s">
        <v>32</v>
      </c>
      <c r="D21" s="4" t="s">
        <v>54</v>
      </c>
      <c r="E21" s="4" t="s">
        <v>14</v>
      </c>
      <c r="F21" s="4" t="s">
        <v>15</v>
      </c>
      <c r="G21" s="4">
        <v>29.0</v>
      </c>
      <c r="H21" s="4">
        <v>26.0</v>
      </c>
      <c r="I21" s="4">
        <v>6.0</v>
      </c>
      <c r="J21" s="4" t="s">
        <v>16</v>
      </c>
    </row>
    <row r="22">
      <c r="A22" s="4" t="s">
        <v>57</v>
      </c>
      <c r="C22" s="4" t="s">
        <v>35</v>
      </c>
      <c r="D22" s="4" t="s">
        <v>54</v>
      </c>
      <c r="E22" s="4" t="s">
        <v>14</v>
      </c>
      <c r="F22" s="4" t="s">
        <v>15</v>
      </c>
      <c r="G22" s="4">
        <v>29.0</v>
      </c>
      <c r="H22" s="4">
        <v>19.0</v>
      </c>
      <c r="I22" s="4">
        <v>6.0</v>
      </c>
      <c r="J22" s="4" t="s">
        <v>16</v>
      </c>
    </row>
    <row r="23">
      <c r="A23" s="4" t="s">
        <v>58</v>
      </c>
      <c r="C23" s="4" t="s">
        <v>18</v>
      </c>
      <c r="D23" s="4" t="s">
        <v>54</v>
      </c>
      <c r="E23" s="4" t="s">
        <v>14</v>
      </c>
      <c r="F23" s="4" t="s">
        <v>15</v>
      </c>
      <c r="G23" s="4">
        <v>110.0</v>
      </c>
      <c r="H23" s="4">
        <v>78.0</v>
      </c>
      <c r="I23" s="4">
        <v>6.0</v>
      </c>
      <c r="J23" s="4" t="s">
        <v>16</v>
      </c>
    </row>
    <row r="24">
      <c r="A24" s="4" t="s">
        <v>59</v>
      </c>
      <c r="B24" s="4" t="s">
        <v>60</v>
      </c>
      <c r="C24" s="4" t="s">
        <v>61</v>
      </c>
      <c r="D24" s="4" t="s">
        <v>62</v>
      </c>
      <c r="E24" s="4" t="s">
        <v>14</v>
      </c>
      <c r="F24" s="4" t="s">
        <v>15</v>
      </c>
      <c r="G24" s="4">
        <v>122.0</v>
      </c>
      <c r="H24" s="4">
        <v>88.0</v>
      </c>
      <c r="I24" s="4">
        <v>5.0</v>
      </c>
      <c r="J24" s="4" t="s">
        <v>16</v>
      </c>
    </row>
    <row r="25">
      <c r="A25" s="4" t="s">
        <v>63</v>
      </c>
      <c r="B25" s="4" t="s">
        <v>60</v>
      </c>
      <c r="C25" s="4" t="s">
        <v>64</v>
      </c>
      <c r="D25" s="4" t="s">
        <v>62</v>
      </c>
      <c r="E25" s="4" t="s">
        <v>14</v>
      </c>
      <c r="F25" s="4" t="s">
        <v>15</v>
      </c>
      <c r="G25" s="4">
        <v>62.0</v>
      </c>
      <c r="H25" s="4">
        <v>45.0</v>
      </c>
      <c r="I25" s="4">
        <v>5.0</v>
      </c>
      <c r="J25" s="4" t="s">
        <v>16</v>
      </c>
    </row>
    <row r="26">
      <c r="A26" s="4" t="s">
        <v>65</v>
      </c>
      <c r="B26" s="4" t="s">
        <v>60</v>
      </c>
      <c r="C26" s="4" t="s">
        <v>66</v>
      </c>
      <c r="D26" s="4" t="s">
        <v>62</v>
      </c>
      <c r="E26" s="4" t="s">
        <v>14</v>
      </c>
      <c r="F26" s="4" t="s">
        <v>15</v>
      </c>
      <c r="G26" s="4">
        <v>165.0</v>
      </c>
      <c r="H26" s="4">
        <v>125.0</v>
      </c>
      <c r="I26" s="4">
        <v>5.0</v>
      </c>
      <c r="J26" s="4" t="s">
        <v>16</v>
      </c>
    </row>
    <row r="27">
      <c r="A27" s="4" t="s">
        <v>65</v>
      </c>
      <c r="B27" s="4" t="s">
        <v>60</v>
      </c>
      <c r="C27" s="4" t="s">
        <v>67</v>
      </c>
      <c r="D27" s="4" t="s">
        <v>62</v>
      </c>
      <c r="E27" s="4" t="s">
        <v>14</v>
      </c>
      <c r="F27" s="4" t="s">
        <v>15</v>
      </c>
      <c r="G27" s="4">
        <v>84.0</v>
      </c>
      <c r="H27" s="4">
        <v>63.0</v>
      </c>
      <c r="I27" s="4">
        <v>5.0</v>
      </c>
      <c r="J27" s="4" t="s">
        <v>16</v>
      </c>
    </row>
    <row r="28">
      <c r="A28" s="4" t="s">
        <v>68</v>
      </c>
      <c r="B28" s="4" t="s">
        <v>69</v>
      </c>
      <c r="C28" s="4" t="s">
        <v>61</v>
      </c>
      <c r="D28" s="4" t="s">
        <v>70</v>
      </c>
      <c r="E28" s="4" t="s">
        <v>14</v>
      </c>
      <c r="G28" s="4">
        <v>116.0</v>
      </c>
      <c r="H28" s="4">
        <v>89.0</v>
      </c>
      <c r="I28" s="4">
        <v>0.0</v>
      </c>
      <c r="J28" s="4" t="s">
        <v>36</v>
      </c>
    </row>
    <row r="29">
      <c r="A29" s="4" t="s">
        <v>71</v>
      </c>
      <c r="B29" s="4" t="s">
        <v>69</v>
      </c>
      <c r="C29" s="4" t="s">
        <v>72</v>
      </c>
      <c r="D29" s="4" t="s">
        <v>70</v>
      </c>
      <c r="E29" s="4" t="s">
        <v>14</v>
      </c>
      <c r="G29" s="4">
        <v>106.0</v>
      </c>
      <c r="H29" s="4">
        <v>90.0</v>
      </c>
      <c r="I29" s="4">
        <v>0.0</v>
      </c>
      <c r="J29" s="4" t="s">
        <v>36</v>
      </c>
    </row>
    <row r="30">
      <c r="A30" s="4" t="s">
        <v>73</v>
      </c>
      <c r="B30" s="4" t="s">
        <v>69</v>
      </c>
      <c r="C30" s="4" t="s">
        <v>66</v>
      </c>
      <c r="D30" s="4" t="s">
        <v>70</v>
      </c>
      <c r="E30" s="4" t="s">
        <v>14</v>
      </c>
      <c r="G30" s="4">
        <v>214.0</v>
      </c>
      <c r="H30" s="4">
        <v>168.0</v>
      </c>
      <c r="I30" s="4">
        <v>0.0</v>
      </c>
      <c r="J30" s="4" t="s">
        <v>36</v>
      </c>
    </row>
    <row r="31">
      <c r="A31" s="4" t="s">
        <v>74</v>
      </c>
      <c r="B31" s="4" t="s">
        <v>69</v>
      </c>
      <c r="C31" s="4" t="s">
        <v>18</v>
      </c>
      <c r="D31" s="4" t="s">
        <v>70</v>
      </c>
      <c r="E31" s="4" t="s">
        <v>14</v>
      </c>
      <c r="G31" s="4">
        <v>214.0</v>
      </c>
      <c r="H31" s="4">
        <v>160.0</v>
      </c>
      <c r="I31" s="4">
        <v>0.0</v>
      </c>
      <c r="J31" s="4" t="s">
        <v>36</v>
      </c>
    </row>
    <row r="32">
      <c r="A32" s="4" t="s">
        <v>75</v>
      </c>
      <c r="B32" s="4" t="s">
        <v>76</v>
      </c>
      <c r="C32" s="4" t="s">
        <v>77</v>
      </c>
      <c r="D32" s="4" t="s">
        <v>78</v>
      </c>
      <c r="E32" s="4" t="s">
        <v>14</v>
      </c>
      <c r="G32" s="4">
        <v>52.0</v>
      </c>
      <c r="H32" s="4">
        <v>33.0</v>
      </c>
      <c r="I32" s="4">
        <v>0.0</v>
      </c>
      <c r="J32" s="4" t="s">
        <v>16</v>
      </c>
    </row>
    <row r="33">
      <c r="A33" s="4" t="s">
        <v>79</v>
      </c>
      <c r="B33" s="4" t="s">
        <v>76</v>
      </c>
      <c r="C33" s="4" t="s">
        <v>80</v>
      </c>
      <c r="D33" s="4" t="s">
        <v>78</v>
      </c>
      <c r="E33" s="4" t="s">
        <v>14</v>
      </c>
      <c r="G33" s="4">
        <v>51.0</v>
      </c>
      <c r="H33" s="4">
        <v>31.0</v>
      </c>
      <c r="I33" s="4">
        <v>0.0</v>
      </c>
      <c r="J33" s="4" t="s">
        <v>16</v>
      </c>
    </row>
    <row r="34">
      <c r="A34" s="4" t="s">
        <v>81</v>
      </c>
      <c r="B34" s="4" t="s">
        <v>76</v>
      </c>
      <c r="C34" s="4" t="s">
        <v>82</v>
      </c>
      <c r="D34" s="4" t="s">
        <v>78</v>
      </c>
      <c r="E34" s="4" t="s">
        <v>14</v>
      </c>
      <c r="G34" s="4">
        <v>92.0</v>
      </c>
      <c r="H34" s="4">
        <v>56.0</v>
      </c>
      <c r="I34" s="4">
        <v>0.0</v>
      </c>
      <c r="J34" s="4" t="s">
        <v>16</v>
      </c>
    </row>
    <row r="35">
      <c r="A35" s="4" t="s">
        <v>83</v>
      </c>
      <c r="B35" s="4" t="s">
        <v>76</v>
      </c>
      <c r="C35" s="4" t="s">
        <v>84</v>
      </c>
      <c r="D35" s="4" t="s">
        <v>78</v>
      </c>
      <c r="E35" s="4" t="s">
        <v>14</v>
      </c>
      <c r="G35" s="4">
        <v>253.0</v>
      </c>
      <c r="H35" s="4">
        <v>175.0</v>
      </c>
      <c r="I35" s="4">
        <v>0.0</v>
      </c>
      <c r="J35" s="4" t="s">
        <v>16</v>
      </c>
    </row>
    <row r="36">
      <c r="A36" s="4" t="s">
        <v>85</v>
      </c>
      <c r="B36" s="4" t="s">
        <v>76</v>
      </c>
      <c r="C36" s="4" t="s">
        <v>86</v>
      </c>
      <c r="D36" s="4" t="s">
        <v>78</v>
      </c>
      <c r="E36" s="4" t="s">
        <v>14</v>
      </c>
      <c r="G36" s="4">
        <v>161.0</v>
      </c>
      <c r="H36" s="4">
        <v>101.0</v>
      </c>
      <c r="I36" s="4">
        <v>0.0</v>
      </c>
      <c r="J36" s="4" t="s">
        <v>16</v>
      </c>
    </row>
    <row r="37">
      <c r="A37" s="4" t="s">
        <v>87</v>
      </c>
      <c r="B37" s="4" t="s">
        <v>76</v>
      </c>
      <c r="C37" s="4" t="s">
        <v>18</v>
      </c>
      <c r="D37" s="4" t="s">
        <v>78</v>
      </c>
      <c r="E37" s="4" t="s">
        <v>14</v>
      </c>
      <c r="G37" s="4">
        <v>247.0</v>
      </c>
      <c r="H37" s="4">
        <v>180.0</v>
      </c>
      <c r="I37" s="4">
        <v>0.0</v>
      </c>
      <c r="J37" s="4"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1" t="s">
        <v>2</v>
      </c>
      <c r="C1" s="5" t="s">
        <v>89</v>
      </c>
      <c r="D1" s="1" t="s">
        <v>90</v>
      </c>
      <c r="E1" s="1" t="s">
        <v>91</v>
      </c>
      <c r="F1" s="1" t="s">
        <v>92</v>
      </c>
      <c r="G1" s="1" t="s">
        <v>93</v>
      </c>
      <c r="H1" s="1" t="s">
        <v>94</v>
      </c>
      <c r="I1" s="1" t="s">
        <v>95</v>
      </c>
      <c r="J1" s="1" t="s">
        <v>96</v>
      </c>
    </row>
    <row r="2">
      <c r="A2" s="4" t="s">
        <v>10</v>
      </c>
      <c r="B2" s="4" t="s">
        <v>12</v>
      </c>
      <c r="C2" s="4"/>
      <c r="D2" s="4" t="s">
        <v>97</v>
      </c>
      <c r="E2" s="4" t="s">
        <v>98</v>
      </c>
      <c r="F2" s="4">
        <v>300.0</v>
      </c>
      <c r="G2" s="4" t="s">
        <v>99</v>
      </c>
      <c r="H2" s="4">
        <v>2.0</v>
      </c>
      <c r="I2" s="4" t="s">
        <v>100</v>
      </c>
    </row>
    <row r="3">
      <c r="A3" s="4" t="s">
        <v>17</v>
      </c>
      <c r="B3" s="4" t="s">
        <v>18</v>
      </c>
      <c r="C3" s="4"/>
      <c r="D3" s="4" t="s">
        <v>97</v>
      </c>
      <c r="E3" s="4" t="s">
        <v>98</v>
      </c>
      <c r="F3" s="4">
        <v>0.0</v>
      </c>
      <c r="I3" s="4" t="s">
        <v>100</v>
      </c>
    </row>
    <row r="4">
      <c r="A4" s="4" t="s">
        <v>19</v>
      </c>
      <c r="B4" s="4" t="s">
        <v>20</v>
      </c>
      <c r="C4" s="4"/>
      <c r="D4" s="4" t="s">
        <v>97</v>
      </c>
      <c r="E4" s="4" t="s">
        <v>98</v>
      </c>
      <c r="F4" s="4">
        <v>15.0</v>
      </c>
      <c r="G4" s="4" t="s">
        <v>101</v>
      </c>
      <c r="H4" s="4">
        <v>4.0</v>
      </c>
      <c r="I4" s="4" t="s">
        <v>100</v>
      </c>
    </row>
    <row r="5">
      <c r="A5" s="4" t="s">
        <v>21</v>
      </c>
      <c r="B5" s="4" t="s">
        <v>18</v>
      </c>
      <c r="C5" s="4"/>
      <c r="D5" s="4" t="s">
        <v>97</v>
      </c>
      <c r="E5" s="4" t="s">
        <v>98</v>
      </c>
      <c r="F5" s="4">
        <v>0.0</v>
      </c>
      <c r="I5" s="4" t="s">
        <v>100</v>
      </c>
    </row>
    <row r="6">
      <c r="A6" s="4" t="s">
        <v>22</v>
      </c>
      <c r="B6" s="4" t="s">
        <v>12</v>
      </c>
      <c r="C6" s="4"/>
      <c r="D6" s="4" t="s">
        <v>102</v>
      </c>
      <c r="E6" s="4" t="s">
        <v>98</v>
      </c>
      <c r="F6" s="4">
        <v>1400.0</v>
      </c>
      <c r="G6" s="4" t="s">
        <v>99</v>
      </c>
      <c r="H6" s="4">
        <v>4.0</v>
      </c>
      <c r="I6" s="4" t="s">
        <v>100</v>
      </c>
    </row>
    <row r="7">
      <c r="A7" s="4" t="s">
        <v>25</v>
      </c>
      <c r="B7" s="4" t="s">
        <v>20</v>
      </c>
      <c r="C7" s="4"/>
      <c r="D7" s="4" t="s">
        <v>102</v>
      </c>
      <c r="E7" s="4" t="s">
        <v>98</v>
      </c>
      <c r="F7" s="4">
        <v>5600.0</v>
      </c>
      <c r="G7" s="4" t="s">
        <v>99</v>
      </c>
      <c r="I7" s="4" t="s">
        <v>100</v>
      </c>
    </row>
    <row r="8">
      <c r="A8" s="4" t="s">
        <v>26</v>
      </c>
      <c r="B8" s="4" t="s">
        <v>18</v>
      </c>
      <c r="C8" s="4"/>
      <c r="D8" s="4" t="s">
        <v>102</v>
      </c>
      <c r="E8" s="4" t="s">
        <v>98</v>
      </c>
      <c r="F8" s="4">
        <v>0.0</v>
      </c>
      <c r="I8" s="4" t="s">
        <v>100</v>
      </c>
    </row>
    <row r="9">
      <c r="A9" s="4" t="s">
        <v>27</v>
      </c>
      <c r="B9" s="4" t="s">
        <v>28</v>
      </c>
      <c r="C9" s="4"/>
      <c r="D9" s="4" t="s">
        <v>103</v>
      </c>
      <c r="E9" s="4" t="s">
        <v>98</v>
      </c>
      <c r="F9" s="4">
        <v>0.5</v>
      </c>
      <c r="G9" s="4" t="s">
        <v>101</v>
      </c>
      <c r="H9" s="4">
        <v>13.0</v>
      </c>
      <c r="I9" s="4" t="s">
        <v>100</v>
      </c>
    </row>
    <row r="10">
      <c r="A10" s="4" t="s">
        <v>31</v>
      </c>
      <c r="B10" s="4" t="s">
        <v>32</v>
      </c>
      <c r="C10" s="4"/>
      <c r="D10" s="4" t="s">
        <v>103</v>
      </c>
      <c r="E10" s="4" t="s">
        <v>98</v>
      </c>
      <c r="F10" s="4">
        <v>1.0</v>
      </c>
      <c r="G10" s="4" t="s">
        <v>101</v>
      </c>
      <c r="H10" s="4">
        <v>13.0</v>
      </c>
      <c r="I10" s="4" t="s">
        <v>100</v>
      </c>
    </row>
    <row r="11">
      <c r="A11" s="4" t="s">
        <v>34</v>
      </c>
      <c r="B11" s="4" t="s">
        <v>35</v>
      </c>
      <c r="C11" s="4"/>
      <c r="D11" s="4" t="s">
        <v>103</v>
      </c>
      <c r="E11" s="4" t="s">
        <v>98</v>
      </c>
      <c r="F11" s="4">
        <v>2.0</v>
      </c>
      <c r="G11" s="4" t="s">
        <v>101</v>
      </c>
      <c r="H11" s="4">
        <v>13.0</v>
      </c>
      <c r="I11" s="4" t="s">
        <v>100</v>
      </c>
    </row>
    <row r="12">
      <c r="A12" s="4" t="s">
        <v>37</v>
      </c>
      <c r="B12" s="4" t="s">
        <v>18</v>
      </c>
      <c r="C12" s="4"/>
      <c r="D12" s="4" t="s">
        <v>103</v>
      </c>
      <c r="E12" s="4" t="s">
        <v>98</v>
      </c>
      <c r="F12" s="4">
        <v>0.0</v>
      </c>
      <c r="I12" s="4" t="s">
        <v>100</v>
      </c>
    </row>
    <row r="13">
      <c r="A13" s="4" t="s">
        <v>38</v>
      </c>
      <c r="B13" s="4" t="s">
        <v>40</v>
      </c>
      <c r="C13" s="4"/>
      <c r="D13" s="4" t="s">
        <v>104</v>
      </c>
      <c r="E13" s="4" t="s">
        <v>98</v>
      </c>
      <c r="F13" s="4">
        <v>1500.0</v>
      </c>
      <c r="G13" s="4" t="s">
        <v>99</v>
      </c>
      <c r="H13" s="4">
        <v>4.0</v>
      </c>
      <c r="I13" s="4" t="s">
        <v>100</v>
      </c>
    </row>
    <row r="14">
      <c r="A14" s="4" t="s">
        <v>42</v>
      </c>
      <c r="B14" s="4" t="s">
        <v>43</v>
      </c>
      <c r="C14" s="4"/>
      <c r="D14" s="4" t="s">
        <v>104</v>
      </c>
      <c r="E14" s="4" t="s">
        <v>98</v>
      </c>
      <c r="F14" s="4">
        <v>4500.0</v>
      </c>
      <c r="G14" s="4" t="s">
        <v>99</v>
      </c>
      <c r="H14" s="4">
        <v>4.0</v>
      </c>
      <c r="I14" s="4" t="s">
        <v>100</v>
      </c>
    </row>
    <row r="15">
      <c r="A15" s="4" t="s">
        <v>44</v>
      </c>
      <c r="B15" s="4" t="s">
        <v>45</v>
      </c>
      <c r="C15" s="4"/>
      <c r="D15" s="4" t="s">
        <v>104</v>
      </c>
      <c r="E15" s="4" t="s">
        <v>98</v>
      </c>
      <c r="F15" s="4">
        <v>8100.0</v>
      </c>
      <c r="G15" s="4" t="s">
        <v>99</v>
      </c>
      <c r="H15" s="4">
        <v>4.0</v>
      </c>
      <c r="I15" s="4" t="s">
        <v>100</v>
      </c>
    </row>
    <row r="16">
      <c r="A16" s="4" t="s">
        <v>46</v>
      </c>
      <c r="B16" s="4" t="s">
        <v>18</v>
      </c>
      <c r="C16" s="4"/>
      <c r="D16" s="4" t="s">
        <v>104</v>
      </c>
      <c r="E16" s="4" t="s">
        <v>98</v>
      </c>
      <c r="F16" s="4">
        <v>0.0</v>
      </c>
      <c r="I16" s="4" t="s">
        <v>100</v>
      </c>
    </row>
    <row r="17">
      <c r="A17" s="4" t="s">
        <v>47</v>
      </c>
      <c r="B17" s="4" t="s">
        <v>49</v>
      </c>
      <c r="C17" s="4"/>
      <c r="D17" s="4" t="s">
        <v>104</v>
      </c>
      <c r="E17" s="4" t="s">
        <v>98</v>
      </c>
      <c r="F17" s="4">
        <v>4500.0</v>
      </c>
      <c r="G17" s="4" t="s">
        <v>99</v>
      </c>
      <c r="H17" s="4">
        <v>4.0</v>
      </c>
      <c r="I17" s="4" t="s">
        <v>100</v>
      </c>
    </row>
    <row r="18">
      <c r="A18" s="4" t="s">
        <v>51</v>
      </c>
      <c r="B18" s="4" t="s">
        <v>18</v>
      </c>
      <c r="C18" s="4"/>
      <c r="D18" s="4" t="s">
        <v>104</v>
      </c>
      <c r="E18" s="4" t="s">
        <v>98</v>
      </c>
      <c r="F18" s="4">
        <v>0.0</v>
      </c>
      <c r="I18" s="4" t="s">
        <v>100</v>
      </c>
    </row>
    <row r="19">
      <c r="A19" s="4" t="s">
        <v>52</v>
      </c>
      <c r="B19" s="4" t="s">
        <v>53</v>
      </c>
      <c r="C19" s="4"/>
      <c r="D19" s="4" t="s">
        <v>103</v>
      </c>
      <c r="E19" s="4" t="s">
        <v>98</v>
      </c>
      <c r="F19" s="4">
        <v>0.15</v>
      </c>
      <c r="G19" s="4" t="s">
        <v>101</v>
      </c>
      <c r="H19" s="4">
        <v>13.0</v>
      </c>
      <c r="I19" s="4" t="s">
        <v>100</v>
      </c>
    </row>
    <row r="20">
      <c r="A20" s="4" t="s">
        <v>55</v>
      </c>
      <c r="B20" s="4" t="s">
        <v>28</v>
      </c>
      <c r="C20" s="4"/>
      <c r="D20" s="4" t="s">
        <v>103</v>
      </c>
      <c r="E20" s="4" t="s">
        <v>98</v>
      </c>
      <c r="F20" s="4">
        <v>0.5</v>
      </c>
      <c r="G20" s="4" t="s">
        <v>101</v>
      </c>
      <c r="H20" s="4">
        <v>13.0</v>
      </c>
      <c r="I20" s="4" t="s">
        <v>100</v>
      </c>
    </row>
    <row r="21">
      <c r="A21" s="4" t="s">
        <v>56</v>
      </c>
      <c r="B21" s="4" t="s">
        <v>32</v>
      </c>
      <c r="C21" s="4"/>
      <c r="D21" s="4" t="s">
        <v>103</v>
      </c>
      <c r="E21" s="4" t="s">
        <v>98</v>
      </c>
      <c r="F21" s="4">
        <v>1.0</v>
      </c>
      <c r="G21" s="4" t="s">
        <v>101</v>
      </c>
      <c r="H21" s="4">
        <v>13.0</v>
      </c>
      <c r="I21" s="4" t="s">
        <v>100</v>
      </c>
    </row>
    <row r="22">
      <c r="A22" s="4" t="s">
        <v>57</v>
      </c>
      <c r="B22" s="4" t="s">
        <v>35</v>
      </c>
      <c r="C22" s="4"/>
      <c r="D22" s="4" t="s">
        <v>103</v>
      </c>
      <c r="E22" s="4" t="s">
        <v>98</v>
      </c>
      <c r="F22" s="4">
        <v>2.0</v>
      </c>
      <c r="G22" s="4" t="s">
        <v>101</v>
      </c>
      <c r="H22" s="4">
        <v>13.0</v>
      </c>
      <c r="I22" s="4" t="s">
        <v>100</v>
      </c>
    </row>
    <row r="23">
      <c r="A23" s="4" t="s">
        <v>58</v>
      </c>
      <c r="B23" s="4" t="s">
        <v>18</v>
      </c>
      <c r="C23" s="4"/>
      <c r="D23" s="4" t="s">
        <v>103</v>
      </c>
      <c r="E23" s="4" t="s">
        <v>98</v>
      </c>
      <c r="F23" s="4">
        <v>0.0</v>
      </c>
      <c r="I23" s="4" t="s">
        <v>100</v>
      </c>
    </row>
    <row r="24">
      <c r="A24" s="4" t="s">
        <v>59</v>
      </c>
      <c r="B24" s="4" t="s">
        <v>61</v>
      </c>
      <c r="C24" s="4"/>
      <c r="D24" s="4" t="s">
        <v>97</v>
      </c>
      <c r="E24" s="4" t="s">
        <v>98</v>
      </c>
      <c r="F24" s="4">
        <v>300.0</v>
      </c>
      <c r="G24" s="4" t="s">
        <v>99</v>
      </c>
      <c r="H24" s="4">
        <v>2.0</v>
      </c>
      <c r="I24" s="4" t="s">
        <v>100</v>
      </c>
    </row>
    <row r="25">
      <c r="A25" s="4" t="s">
        <v>63</v>
      </c>
      <c r="B25" s="4" t="s">
        <v>64</v>
      </c>
      <c r="C25" s="4"/>
      <c r="D25" s="4" t="s">
        <v>97</v>
      </c>
      <c r="E25" s="4" t="s">
        <v>98</v>
      </c>
      <c r="F25" s="4">
        <v>0.0</v>
      </c>
      <c r="I25" s="4" t="s">
        <v>100</v>
      </c>
    </row>
    <row r="26">
      <c r="A26" s="4" t="s">
        <v>65</v>
      </c>
      <c r="B26" s="4" t="s">
        <v>66</v>
      </c>
      <c r="C26" s="4"/>
      <c r="D26" s="4" t="s">
        <v>97</v>
      </c>
      <c r="E26" s="4" t="s">
        <v>98</v>
      </c>
      <c r="F26" s="4">
        <v>15.0</v>
      </c>
      <c r="G26" s="4" t="s">
        <v>101</v>
      </c>
      <c r="H26" s="4">
        <v>4.0</v>
      </c>
      <c r="I26" s="4" t="s">
        <v>100</v>
      </c>
    </row>
    <row r="27">
      <c r="A27" s="4" t="s">
        <v>65</v>
      </c>
      <c r="B27" s="4" t="s">
        <v>67</v>
      </c>
      <c r="C27" s="4"/>
      <c r="D27" s="4" t="s">
        <v>97</v>
      </c>
      <c r="E27" s="4" t="s">
        <v>98</v>
      </c>
      <c r="F27" s="4">
        <v>0.0</v>
      </c>
      <c r="I27" s="4" t="s">
        <v>100</v>
      </c>
    </row>
    <row r="28">
      <c r="A28" s="4" t="s">
        <v>68</v>
      </c>
      <c r="B28" s="4" t="s">
        <v>61</v>
      </c>
      <c r="C28" s="4" t="s">
        <v>105</v>
      </c>
      <c r="D28" s="4" t="s">
        <v>106</v>
      </c>
      <c r="E28" s="4" t="s">
        <v>98</v>
      </c>
      <c r="F28" s="4">
        <v>125.0</v>
      </c>
      <c r="G28" s="4" t="s">
        <v>99</v>
      </c>
      <c r="H28" s="4">
        <v>4.0</v>
      </c>
      <c r="I28" s="4" t="s">
        <v>100</v>
      </c>
    </row>
    <row r="29">
      <c r="A29" s="4" t="s">
        <v>68</v>
      </c>
      <c r="B29" s="4" t="s">
        <v>61</v>
      </c>
      <c r="C29" s="4" t="s">
        <v>107</v>
      </c>
      <c r="D29" s="4" t="s">
        <v>106</v>
      </c>
      <c r="E29" s="4" t="s">
        <v>98</v>
      </c>
      <c r="F29" s="4">
        <v>375.0</v>
      </c>
      <c r="G29" s="4" t="s">
        <v>99</v>
      </c>
      <c r="H29" s="4">
        <v>4.0</v>
      </c>
      <c r="I29" s="4" t="s">
        <v>100</v>
      </c>
    </row>
    <row r="30">
      <c r="A30" s="4" t="s">
        <v>71</v>
      </c>
      <c r="B30" s="4" t="s">
        <v>72</v>
      </c>
      <c r="C30" s="4"/>
      <c r="D30" s="4" t="s">
        <v>106</v>
      </c>
      <c r="E30" s="4" t="s">
        <v>98</v>
      </c>
      <c r="F30" s="4">
        <v>600.0</v>
      </c>
      <c r="G30" s="4" t="s">
        <v>99</v>
      </c>
      <c r="H30" s="4">
        <v>4.0</v>
      </c>
      <c r="I30" s="4" t="s">
        <v>100</v>
      </c>
    </row>
    <row r="31">
      <c r="A31" s="4" t="s">
        <v>73</v>
      </c>
      <c r="B31" s="4" t="s">
        <v>66</v>
      </c>
      <c r="C31" s="4"/>
      <c r="D31" s="4" t="s">
        <v>106</v>
      </c>
      <c r="E31" s="4" t="s">
        <v>98</v>
      </c>
      <c r="F31" s="4">
        <v>2000.0</v>
      </c>
      <c r="G31" s="4" t="s">
        <v>99</v>
      </c>
      <c r="H31" s="4">
        <v>4.0</v>
      </c>
      <c r="I31" s="4" t="s">
        <v>100</v>
      </c>
    </row>
    <row r="32">
      <c r="A32" s="4" t="s">
        <v>74</v>
      </c>
      <c r="B32" s="4" t="s">
        <v>18</v>
      </c>
      <c r="C32" s="4"/>
      <c r="D32" s="4" t="s">
        <v>106</v>
      </c>
      <c r="E32" s="4" t="s">
        <v>98</v>
      </c>
      <c r="F32" s="4">
        <v>0.0</v>
      </c>
      <c r="I32" s="4" t="s">
        <v>100</v>
      </c>
    </row>
    <row r="33">
      <c r="A33" s="4" t="s">
        <v>75</v>
      </c>
      <c r="B33" s="4" t="s">
        <v>77</v>
      </c>
      <c r="D33" s="4" t="s">
        <v>108</v>
      </c>
      <c r="E33" s="4" t="s">
        <v>98</v>
      </c>
      <c r="F33" s="4">
        <v>2.5</v>
      </c>
      <c r="G33" s="4" t="s">
        <v>101</v>
      </c>
      <c r="H33" s="4">
        <v>2.0</v>
      </c>
      <c r="I33" s="4" t="s">
        <v>100</v>
      </c>
    </row>
    <row r="34">
      <c r="A34" s="4" t="s">
        <v>79</v>
      </c>
      <c r="B34" s="4" t="s">
        <v>80</v>
      </c>
      <c r="D34" s="4" t="s">
        <v>108</v>
      </c>
      <c r="E34" s="4" t="s">
        <v>98</v>
      </c>
      <c r="F34" s="4">
        <v>5.0</v>
      </c>
      <c r="G34" s="4" t="s">
        <v>101</v>
      </c>
      <c r="H34" s="4">
        <v>4.0</v>
      </c>
      <c r="I34" s="4" t="s">
        <v>100</v>
      </c>
    </row>
    <row r="35">
      <c r="A35" s="4" t="s">
        <v>81</v>
      </c>
      <c r="B35" s="4" t="s">
        <v>82</v>
      </c>
      <c r="D35" s="4" t="s">
        <v>108</v>
      </c>
      <c r="E35" s="4" t="s">
        <v>98</v>
      </c>
      <c r="F35" s="4">
        <v>5.0</v>
      </c>
      <c r="G35" s="4" t="s">
        <v>101</v>
      </c>
      <c r="H35" s="4">
        <v>2.0</v>
      </c>
      <c r="I35" s="4" t="s">
        <v>100</v>
      </c>
    </row>
    <row r="36">
      <c r="A36" s="4" t="s">
        <v>83</v>
      </c>
      <c r="B36" s="4" t="s">
        <v>84</v>
      </c>
      <c r="D36" s="4" t="s">
        <v>108</v>
      </c>
      <c r="E36" s="4" t="s">
        <v>98</v>
      </c>
      <c r="F36" s="4">
        <v>10.0</v>
      </c>
      <c r="G36" s="4" t="s">
        <v>101</v>
      </c>
      <c r="H36" s="4">
        <v>4.0</v>
      </c>
      <c r="I36" s="4" t="s">
        <v>100</v>
      </c>
    </row>
    <row r="37">
      <c r="A37" s="4" t="s">
        <v>85</v>
      </c>
      <c r="B37" s="4" t="s">
        <v>86</v>
      </c>
      <c r="D37" s="4" t="s">
        <v>108</v>
      </c>
      <c r="E37" s="4" t="s">
        <v>98</v>
      </c>
      <c r="F37" s="4">
        <v>10.0</v>
      </c>
      <c r="G37" s="4" t="s">
        <v>101</v>
      </c>
      <c r="H37" s="4">
        <v>2.0</v>
      </c>
      <c r="I37" s="4" t="s">
        <v>100</v>
      </c>
    </row>
    <row r="38">
      <c r="A38" s="4" t="s">
        <v>87</v>
      </c>
      <c r="B38" s="4" t="s">
        <v>18</v>
      </c>
      <c r="D38" s="4" t="s">
        <v>108</v>
      </c>
      <c r="E38" s="4" t="s">
        <v>98</v>
      </c>
      <c r="F38" s="4">
        <v>0.0</v>
      </c>
      <c r="I38" s="4"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88</v>
      </c>
      <c r="B1" s="5" t="s">
        <v>109</v>
      </c>
      <c r="C1" s="5" t="s">
        <v>89</v>
      </c>
      <c r="D1" s="1" t="s">
        <v>2</v>
      </c>
      <c r="E1" s="1" t="s">
        <v>93</v>
      </c>
      <c r="F1" s="1" t="s">
        <v>110</v>
      </c>
      <c r="G1" s="1" t="s">
        <v>111</v>
      </c>
      <c r="H1" s="1" t="s">
        <v>112</v>
      </c>
      <c r="I1" s="5" t="s">
        <v>113</v>
      </c>
      <c r="J1" s="5" t="s">
        <v>114</v>
      </c>
    </row>
    <row r="2">
      <c r="A2" s="4" t="s">
        <v>10</v>
      </c>
      <c r="B2" s="4" t="s">
        <v>11</v>
      </c>
      <c r="C2" s="4"/>
      <c r="D2" s="4" t="s">
        <v>12</v>
      </c>
      <c r="E2" s="4" t="s">
        <v>99</v>
      </c>
      <c r="F2" s="4">
        <v>300.0</v>
      </c>
      <c r="G2" s="4">
        <v>0.0</v>
      </c>
      <c r="H2" s="4">
        <v>2.0</v>
      </c>
      <c r="I2" s="4">
        <v>69.0</v>
      </c>
    </row>
    <row r="3">
      <c r="A3" s="4" t="s">
        <v>17</v>
      </c>
      <c r="B3" s="4" t="s">
        <v>11</v>
      </c>
      <c r="C3" s="4"/>
      <c r="D3" s="4" t="s">
        <v>18</v>
      </c>
      <c r="I3" s="4">
        <v>69.0</v>
      </c>
    </row>
    <row r="4">
      <c r="A4" s="4" t="s">
        <v>19</v>
      </c>
      <c r="B4" s="4" t="s">
        <v>11</v>
      </c>
      <c r="C4" s="4"/>
      <c r="D4" s="4" t="s">
        <v>20</v>
      </c>
      <c r="E4" s="4" t="s">
        <v>101</v>
      </c>
      <c r="F4" s="4">
        <v>15.0</v>
      </c>
      <c r="G4" s="4">
        <v>0.0</v>
      </c>
      <c r="H4" s="4">
        <v>4.0</v>
      </c>
      <c r="I4" s="4">
        <v>69.0</v>
      </c>
    </row>
    <row r="5">
      <c r="A5" s="4" t="s">
        <v>21</v>
      </c>
      <c r="B5" s="4" t="s">
        <v>11</v>
      </c>
      <c r="C5" s="4"/>
      <c r="D5" s="4" t="s">
        <v>18</v>
      </c>
      <c r="I5" s="4">
        <v>69.0</v>
      </c>
    </row>
    <row r="6">
      <c r="A6" s="4" t="s">
        <v>22</v>
      </c>
      <c r="B6" s="4" t="s">
        <v>23</v>
      </c>
      <c r="C6" s="4"/>
      <c r="D6" s="4" t="s">
        <v>12</v>
      </c>
      <c r="E6" s="4" t="s">
        <v>99</v>
      </c>
      <c r="F6" s="4">
        <v>1400.0</v>
      </c>
      <c r="G6" s="4">
        <v>0.0</v>
      </c>
      <c r="H6" s="4">
        <v>4.0</v>
      </c>
      <c r="I6" s="4">
        <v>100.0</v>
      </c>
    </row>
    <row r="7">
      <c r="A7" s="4" t="s">
        <v>25</v>
      </c>
      <c r="B7" s="4" t="s">
        <v>23</v>
      </c>
      <c r="C7" s="4"/>
      <c r="D7" s="4" t="s">
        <v>20</v>
      </c>
      <c r="E7" s="4" t="s">
        <v>99</v>
      </c>
      <c r="F7" s="4">
        <v>5600.0</v>
      </c>
      <c r="G7" s="4">
        <v>0.0</v>
      </c>
      <c r="H7" s="4">
        <v>4.0</v>
      </c>
      <c r="I7" s="4">
        <v>100.0</v>
      </c>
    </row>
    <row r="8">
      <c r="A8" s="4" t="s">
        <v>26</v>
      </c>
      <c r="B8" s="4" t="s">
        <v>23</v>
      </c>
      <c r="C8" s="4"/>
      <c r="D8" s="4" t="s">
        <v>18</v>
      </c>
    </row>
    <row r="9">
      <c r="A9" s="4" t="s">
        <v>27</v>
      </c>
      <c r="C9" s="4"/>
      <c r="D9" s="4" t="s">
        <v>28</v>
      </c>
      <c r="E9" s="4" t="s">
        <v>101</v>
      </c>
      <c r="F9" s="4">
        <v>0.5</v>
      </c>
      <c r="G9" s="4">
        <v>0.0</v>
      </c>
      <c r="H9" s="4">
        <v>13.0</v>
      </c>
      <c r="I9" s="4">
        <v>78.0</v>
      </c>
      <c r="J9" s="4" t="s">
        <v>115</v>
      </c>
    </row>
    <row r="10">
      <c r="A10" s="4" t="s">
        <v>31</v>
      </c>
      <c r="C10" s="4"/>
      <c r="D10" s="4" t="s">
        <v>32</v>
      </c>
      <c r="E10" s="4" t="s">
        <v>101</v>
      </c>
      <c r="F10" s="4">
        <v>1.0</v>
      </c>
      <c r="G10" s="4">
        <v>0.0</v>
      </c>
      <c r="H10" s="4">
        <v>13.0</v>
      </c>
      <c r="I10" s="4">
        <v>78.0</v>
      </c>
      <c r="J10" s="4" t="s">
        <v>115</v>
      </c>
    </row>
    <row r="11">
      <c r="A11" s="4" t="s">
        <v>34</v>
      </c>
      <c r="C11" s="4"/>
      <c r="D11" s="4" t="s">
        <v>35</v>
      </c>
      <c r="E11" s="4" t="s">
        <v>101</v>
      </c>
      <c r="F11" s="4">
        <v>2.0</v>
      </c>
      <c r="G11" s="4">
        <v>0.0</v>
      </c>
      <c r="H11" s="4">
        <v>13.0</v>
      </c>
      <c r="I11" s="4">
        <v>78.0</v>
      </c>
      <c r="J11" s="4" t="s">
        <v>115</v>
      </c>
    </row>
    <row r="12">
      <c r="A12" s="4" t="s">
        <v>37</v>
      </c>
      <c r="C12" s="4"/>
      <c r="D12" s="4" t="s">
        <v>18</v>
      </c>
      <c r="E12" s="4" t="s">
        <v>101</v>
      </c>
      <c r="I12" s="4">
        <v>78.0</v>
      </c>
      <c r="J12" s="4" t="s">
        <v>115</v>
      </c>
    </row>
    <row r="13">
      <c r="A13" s="4" t="s">
        <v>38</v>
      </c>
      <c r="B13" s="4" t="s">
        <v>39</v>
      </c>
      <c r="C13" s="4"/>
      <c r="D13" s="4" t="s">
        <v>40</v>
      </c>
      <c r="E13" s="4" t="s">
        <v>99</v>
      </c>
      <c r="F13" s="4">
        <v>1500.0</v>
      </c>
      <c r="G13" s="4">
        <v>0.0</v>
      </c>
      <c r="H13" s="4">
        <v>2.0</v>
      </c>
      <c r="I13" s="4">
        <v>6.0</v>
      </c>
      <c r="J13" s="4" t="s">
        <v>116</v>
      </c>
    </row>
    <row r="14">
      <c r="A14" s="4" t="s">
        <v>38</v>
      </c>
      <c r="B14" s="4" t="s">
        <v>39</v>
      </c>
      <c r="C14" s="4"/>
      <c r="D14" s="4" t="s">
        <v>40</v>
      </c>
      <c r="E14" s="4" t="s">
        <v>99</v>
      </c>
      <c r="F14" s="4">
        <v>1500.0</v>
      </c>
      <c r="G14" s="4">
        <v>8.0</v>
      </c>
      <c r="H14" s="4">
        <v>4.0</v>
      </c>
      <c r="I14" s="4">
        <v>67.0</v>
      </c>
      <c r="J14" s="4" t="s">
        <v>116</v>
      </c>
    </row>
    <row r="15">
      <c r="A15" s="4" t="s">
        <v>42</v>
      </c>
      <c r="B15" s="4" t="s">
        <v>39</v>
      </c>
      <c r="C15" s="4"/>
      <c r="D15" s="4" t="s">
        <v>43</v>
      </c>
      <c r="E15" s="4" t="s">
        <v>99</v>
      </c>
      <c r="F15" s="4">
        <v>4500.0</v>
      </c>
      <c r="G15" s="4">
        <v>0.0</v>
      </c>
      <c r="H15" s="4">
        <v>2.0</v>
      </c>
      <c r="I15" s="4">
        <v>6.0</v>
      </c>
      <c r="J15" s="4" t="s">
        <v>116</v>
      </c>
    </row>
    <row r="16">
      <c r="A16" s="4" t="s">
        <v>42</v>
      </c>
      <c r="B16" s="4" t="s">
        <v>39</v>
      </c>
      <c r="C16" s="4"/>
      <c r="D16" s="4" t="s">
        <v>43</v>
      </c>
      <c r="E16" s="4" t="s">
        <v>99</v>
      </c>
      <c r="F16" s="4">
        <v>4500.0</v>
      </c>
      <c r="G16" s="4">
        <v>8.0</v>
      </c>
      <c r="H16" s="4">
        <v>4.0</v>
      </c>
      <c r="I16" s="4">
        <v>67.0</v>
      </c>
      <c r="J16" s="4" t="s">
        <v>116</v>
      </c>
    </row>
    <row r="17">
      <c r="A17" s="4" t="s">
        <v>44</v>
      </c>
      <c r="B17" s="4" t="s">
        <v>39</v>
      </c>
      <c r="C17" s="4"/>
      <c r="D17" s="4" t="s">
        <v>45</v>
      </c>
      <c r="E17" s="4" t="s">
        <v>99</v>
      </c>
      <c r="F17" s="4">
        <v>8100.0</v>
      </c>
      <c r="G17" s="4">
        <v>0.0</v>
      </c>
      <c r="H17" s="4">
        <v>2.0</v>
      </c>
      <c r="I17" s="4">
        <v>6.0</v>
      </c>
      <c r="J17" s="4" t="s">
        <v>116</v>
      </c>
    </row>
    <row r="18">
      <c r="A18" s="4" t="s">
        <v>44</v>
      </c>
      <c r="B18" s="4" t="s">
        <v>39</v>
      </c>
      <c r="C18" s="4"/>
      <c r="D18" s="4" t="s">
        <v>45</v>
      </c>
      <c r="E18" s="4" t="s">
        <v>99</v>
      </c>
      <c r="F18" s="4">
        <v>8100.0</v>
      </c>
      <c r="G18" s="4">
        <v>8.0</v>
      </c>
      <c r="H18" s="4">
        <v>4.0</v>
      </c>
      <c r="I18" s="4">
        <v>67.0</v>
      </c>
      <c r="J18" s="4" t="s">
        <v>116</v>
      </c>
    </row>
    <row r="19">
      <c r="A19" s="4" t="s">
        <v>46</v>
      </c>
      <c r="B19" s="4" t="s">
        <v>39</v>
      </c>
      <c r="C19" s="4"/>
      <c r="D19" s="4" t="s">
        <v>18</v>
      </c>
      <c r="I19" s="4">
        <v>73.0</v>
      </c>
      <c r="J19" s="4" t="s">
        <v>116</v>
      </c>
    </row>
    <row r="20">
      <c r="A20" s="4" t="s">
        <v>47</v>
      </c>
      <c r="B20" s="4" t="s">
        <v>48</v>
      </c>
      <c r="C20" s="4"/>
      <c r="D20" s="4" t="s">
        <v>49</v>
      </c>
      <c r="E20" s="4" t="s">
        <v>99</v>
      </c>
      <c r="F20" s="4">
        <v>4500.0</v>
      </c>
      <c r="G20" s="4">
        <v>0.0</v>
      </c>
      <c r="H20" s="4">
        <v>4.0</v>
      </c>
      <c r="I20" s="4">
        <v>48.0</v>
      </c>
      <c r="J20" s="4" t="s">
        <v>117</v>
      </c>
    </row>
    <row r="21">
      <c r="A21" s="4" t="s">
        <v>47</v>
      </c>
      <c r="B21" s="4" t="s">
        <v>48</v>
      </c>
      <c r="C21" s="4"/>
      <c r="D21" s="4" t="s">
        <v>49</v>
      </c>
      <c r="E21" s="4" t="s">
        <v>99</v>
      </c>
      <c r="F21" s="4">
        <v>4500.0</v>
      </c>
      <c r="G21" s="4">
        <v>0.0</v>
      </c>
      <c r="H21" s="4">
        <v>4.0</v>
      </c>
      <c r="I21" s="4">
        <v>60.0</v>
      </c>
      <c r="J21" s="4" t="s">
        <v>118</v>
      </c>
    </row>
    <row r="22">
      <c r="A22" s="4" t="s">
        <v>51</v>
      </c>
      <c r="B22" s="4" t="s">
        <v>48</v>
      </c>
      <c r="C22" s="4"/>
      <c r="D22" s="4" t="s">
        <v>18</v>
      </c>
    </row>
    <row r="23">
      <c r="A23" s="4" t="s">
        <v>52</v>
      </c>
      <c r="C23" s="4"/>
      <c r="D23" s="4" t="s">
        <v>53</v>
      </c>
      <c r="E23" s="4" t="s">
        <v>101</v>
      </c>
      <c r="F23" s="4">
        <v>0.15</v>
      </c>
      <c r="G23" s="4">
        <v>0.0</v>
      </c>
      <c r="H23" s="4">
        <v>13.0</v>
      </c>
      <c r="I23" s="4">
        <v>72.0</v>
      </c>
      <c r="J23" s="4" t="s">
        <v>119</v>
      </c>
    </row>
    <row r="24">
      <c r="A24" s="4" t="s">
        <v>55</v>
      </c>
      <c r="C24" s="4"/>
      <c r="D24" s="4" t="s">
        <v>28</v>
      </c>
      <c r="E24" s="4" t="s">
        <v>101</v>
      </c>
      <c r="F24" s="4">
        <v>0.5</v>
      </c>
      <c r="G24" s="4">
        <v>0.0</v>
      </c>
      <c r="H24" s="4">
        <v>13.0</v>
      </c>
      <c r="I24" s="4">
        <v>72.0</v>
      </c>
      <c r="J24" s="4" t="s">
        <v>119</v>
      </c>
    </row>
    <row r="25">
      <c r="A25" s="4" t="s">
        <v>56</v>
      </c>
      <c r="C25" s="4"/>
      <c r="D25" s="4" t="s">
        <v>32</v>
      </c>
      <c r="E25" s="4" t="s">
        <v>101</v>
      </c>
      <c r="F25" s="4">
        <v>1.0</v>
      </c>
      <c r="G25" s="4">
        <v>0.0</v>
      </c>
      <c r="H25" s="4">
        <v>13.0</v>
      </c>
      <c r="I25" s="4">
        <v>72.0</v>
      </c>
      <c r="J25" s="4" t="s">
        <v>119</v>
      </c>
    </row>
    <row r="26">
      <c r="A26" s="4" t="s">
        <v>57</v>
      </c>
      <c r="C26" s="4"/>
      <c r="D26" s="4" t="s">
        <v>35</v>
      </c>
      <c r="E26" s="4" t="s">
        <v>101</v>
      </c>
      <c r="F26" s="4">
        <v>2.0</v>
      </c>
      <c r="G26" s="4">
        <v>0.0</v>
      </c>
      <c r="H26" s="4">
        <v>13.0</v>
      </c>
      <c r="I26" s="4">
        <v>72.0</v>
      </c>
      <c r="J26" s="4" t="s">
        <v>119</v>
      </c>
    </row>
    <row r="27">
      <c r="A27" s="4" t="s">
        <v>58</v>
      </c>
      <c r="C27" s="4"/>
      <c r="D27" s="4" t="s">
        <v>18</v>
      </c>
    </row>
    <row r="28">
      <c r="A28" s="4" t="s">
        <v>59</v>
      </c>
      <c r="B28" s="4" t="s">
        <v>60</v>
      </c>
      <c r="C28" s="4"/>
      <c r="D28" s="4" t="s">
        <v>61</v>
      </c>
      <c r="E28" s="4" t="s">
        <v>99</v>
      </c>
      <c r="F28" s="4">
        <v>300.0</v>
      </c>
      <c r="G28" s="4">
        <v>0.0</v>
      </c>
      <c r="H28" s="4">
        <v>2.0</v>
      </c>
      <c r="I28" s="4">
        <v>68.0</v>
      </c>
      <c r="J28" s="4" t="s">
        <v>120</v>
      </c>
    </row>
    <row r="29">
      <c r="A29" s="4" t="s">
        <v>63</v>
      </c>
      <c r="B29" s="4" t="s">
        <v>60</v>
      </c>
      <c r="C29" s="4"/>
      <c r="D29" s="4" t="s">
        <v>64</v>
      </c>
    </row>
    <row r="30">
      <c r="A30" s="4" t="s">
        <v>65</v>
      </c>
      <c r="B30" s="4" t="s">
        <v>60</v>
      </c>
      <c r="C30" s="4"/>
      <c r="D30" s="4" t="s">
        <v>66</v>
      </c>
      <c r="E30" s="4" t="s">
        <v>101</v>
      </c>
      <c r="F30" s="4">
        <v>15.0</v>
      </c>
      <c r="G30" s="4">
        <v>0.0</v>
      </c>
      <c r="H30" s="4">
        <v>4.0</v>
      </c>
      <c r="I30" s="4">
        <v>68.0</v>
      </c>
      <c r="J30" s="4" t="s">
        <v>121</v>
      </c>
    </row>
    <row r="31">
      <c r="A31" s="4" t="s">
        <v>65</v>
      </c>
      <c r="B31" s="4" t="s">
        <v>60</v>
      </c>
      <c r="C31" s="4"/>
      <c r="D31" s="4" t="s">
        <v>67</v>
      </c>
    </row>
    <row r="32">
      <c r="A32" s="4" t="s">
        <v>68</v>
      </c>
      <c r="B32" s="4" t="s">
        <v>69</v>
      </c>
      <c r="C32" s="4" t="s">
        <v>105</v>
      </c>
      <c r="D32" s="4" t="s">
        <v>61</v>
      </c>
      <c r="E32" s="4" t="s">
        <v>99</v>
      </c>
      <c r="F32" s="4">
        <v>125.0</v>
      </c>
      <c r="G32" s="4">
        <v>0.0</v>
      </c>
      <c r="H32" s="4">
        <v>4.0</v>
      </c>
      <c r="I32" s="4">
        <v>78.0</v>
      </c>
      <c r="J32" s="4" t="s">
        <v>122</v>
      </c>
    </row>
    <row r="33">
      <c r="A33" s="4" t="s">
        <v>68</v>
      </c>
      <c r="B33" s="4" t="s">
        <v>69</v>
      </c>
      <c r="C33" s="4" t="s">
        <v>107</v>
      </c>
      <c r="D33" s="4" t="s">
        <v>61</v>
      </c>
      <c r="E33" s="4" t="s">
        <v>99</v>
      </c>
      <c r="F33" s="4">
        <v>375.0</v>
      </c>
      <c r="G33" s="4">
        <v>0.0</v>
      </c>
      <c r="H33" s="4">
        <v>4.0</v>
      </c>
      <c r="I33" s="4">
        <v>78.0</v>
      </c>
      <c r="J33" s="4" t="s">
        <v>123</v>
      </c>
    </row>
    <row r="34">
      <c r="A34" s="4" t="s">
        <v>71</v>
      </c>
      <c r="B34" s="4" t="s">
        <v>69</v>
      </c>
      <c r="C34" s="4"/>
      <c r="D34" s="4" t="s">
        <v>72</v>
      </c>
      <c r="E34" s="4" t="s">
        <v>99</v>
      </c>
      <c r="F34" s="4">
        <v>600.0</v>
      </c>
      <c r="G34" s="4">
        <v>0.0</v>
      </c>
      <c r="H34" s="4">
        <v>4.0</v>
      </c>
      <c r="I34" s="4">
        <v>78.0</v>
      </c>
    </row>
    <row r="35">
      <c r="A35" s="4" t="s">
        <v>73</v>
      </c>
      <c r="B35" s="4" t="s">
        <v>69</v>
      </c>
      <c r="C35" s="4"/>
      <c r="D35" s="4" t="s">
        <v>66</v>
      </c>
      <c r="E35" s="4" t="s">
        <v>99</v>
      </c>
      <c r="F35" s="4">
        <v>2000.0</v>
      </c>
      <c r="G35" s="4">
        <v>0.0</v>
      </c>
      <c r="H35" s="4">
        <v>4.0</v>
      </c>
      <c r="I35" s="4">
        <v>78.0</v>
      </c>
    </row>
    <row r="36">
      <c r="A36" s="4" t="s">
        <v>74</v>
      </c>
      <c r="B36" s="4" t="s">
        <v>69</v>
      </c>
      <c r="C36" s="4"/>
      <c r="D36" s="4" t="s">
        <v>18</v>
      </c>
      <c r="I36" s="4">
        <v>78.0</v>
      </c>
    </row>
    <row r="37">
      <c r="A37" s="4" t="s">
        <v>75</v>
      </c>
      <c r="B37" s="4" t="s">
        <v>76</v>
      </c>
      <c r="D37" s="4" t="s">
        <v>77</v>
      </c>
      <c r="E37" s="4" t="s">
        <v>101</v>
      </c>
      <c r="F37" s="4">
        <v>2.5</v>
      </c>
      <c r="G37" s="4">
        <v>0.0</v>
      </c>
      <c r="H37" s="4">
        <v>2.0</v>
      </c>
      <c r="I37" s="4">
        <v>72.0</v>
      </c>
      <c r="J37" s="4" t="s">
        <v>124</v>
      </c>
    </row>
    <row r="38">
      <c r="A38" s="4" t="s">
        <v>79</v>
      </c>
      <c r="B38" s="4" t="s">
        <v>76</v>
      </c>
      <c r="D38" s="4" t="s">
        <v>80</v>
      </c>
      <c r="E38" s="4" t="s">
        <v>101</v>
      </c>
      <c r="F38" s="4">
        <v>5.0</v>
      </c>
      <c r="G38" s="4">
        <v>0.0</v>
      </c>
      <c r="H38" s="4">
        <v>4.0</v>
      </c>
      <c r="I38" s="4">
        <v>72.0</v>
      </c>
      <c r="J38" s="4" t="s">
        <v>125</v>
      </c>
    </row>
    <row r="39">
      <c r="A39" s="4" t="s">
        <v>81</v>
      </c>
      <c r="B39" s="4" t="s">
        <v>76</v>
      </c>
      <c r="D39" s="4" t="s">
        <v>82</v>
      </c>
      <c r="E39" s="4" t="s">
        <v>101</v>
      </c>
      <c r="F39" s="4">
        <v>5.0</v>
      </c>
      <c r="G39" s="4">
        <v>0.0</v>
      </c>
      <c r="H39" s="4">
        <v>2.0</v>
      </c>
      <c r="I39" s="4">
        <v>72.0</v>
      </c>
      <c r="J39" s="4" t="s">
        <v>126</v>
      </c>
    </row>
    <row r="40">
      <c r="A40" s="4" t="s">
        <v>83</v>
      </c>
      <c r="B40" s="4" t="s">
        <v>76</v>
      </c>
      <c r="D40" s="4" t="s">
        <v>84</v>
      </c>
      <c r="E40" s="4" t="s">
        <v>101</v>
      </c>
      <c r="F40" s="4">
        <v>10.0</v>
      </c>
      <c r="G40" s="4">
        <v>0.0</v>
      </c>
      <c r="H40" s="4">
        <v>4.0</v>
      </c>
      <c r="I40" s="4">
        <v>72.0</v>
      </c>
      <c r="J40" s="4" t="s">
        <v>127</v>
      </c>
    </row>
    <row r="41">
      <c r="A41" s="4" t="s">
        <v>85</v>
      </c>
      <c r="B41" s="4" t="s">
        <v>76</v>
      </c>
      <c r="D41" s="4" t="s">
        <v>86</v>
      </c>
      <c r="E41" s="4" t="s">
        <v>101</v>
      </c>
      <c r="F41" s="4">
        <v>10.0</v>
      </c>
      <c r="G41" s="4">
        <v>0.0</v>
      </c>
      <c r="H41" s="4">
        <v>2.0</v>
      </c>
      <c r="I41" s="4">
        <v>72.0</v>
      </c>
      <c r="J41" s="4" t="s">
        <v>128</v>
      </c>
    </row>
    <row r="42">
      <c r="A42" s="4" t="s">
        <v>87</v>
      </c>
      <c r="B42" s="4" t="s">
        <v>76</v>
      </c>
      <c r="D42" s="4"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88</v>
      </c>
      <c r="B1" s="5" t="s">
        <v>109</v>
      </c>
      <c r="C1" s="5" t="s">
        <v>129</v>
      </c>
      <c r="D1" s="1" t="s">
        <v>2</v>
      </c>
      <c r="E1" s="1" t="s">
        <v>130</v>
      </c>
      <c r="F1" s="1" t="s">
        <v>131</v>
      </c>
      <c r="G1" s="1" t="s">
        <v>132</v>
      </c>
      <c r="H1" s="1" t="s">
        <v>133</v>
      </c>
      <c r="I1" s="5" t="s">
        <v>134</v>
      </c>
      <c r="J1" s="1" t="s">
        <v>135</v>
      </c>
      <c r="K1" s="1" t="s">
        <v>136</v>
      </c>
      <c r="L1" s="1" t="s">
        <v>137</v>
      </c>
      <c r="M1" s="6" t="s">
        <v>138</v>
      </c>
      <c r="N1" s="5" t="s">
        <v>139</v>
      </c>
      <c r="O1" s="1" t="s">
        <v>114</v>
      </c>
    </row>
    <row r="2">
      <c r="A2" s="4" t="s">
        <v>10</v>
      </c>
      <c r="B2" s="4" t="s">
        <v>11</v>
      </c>
      <c r="C2" s="4"/>
      <c r="D2" s="4" t="s">
        <v>12</v>
      </c>
      <c r="E2" s="4">
        <v>66.7</v>
      </c>
      <c r="F2" s="4">
        <v>9.5</v>
      </c>
      <c r="G2" s="4">
        <v>14.0</v>
      </c>
      <c r="H2" s="4">
        <v>12.0</v>
      </c>
      <c r="I2" s="4">
        <v>85.0</v>
      </c>
      <c r="J2" s="4">
        <v>19.0</v>
      </c>
      <c r="K2" s="4">
        <v>4.0</v>
      </c>
      <c r="L2" s="4">
        <v>22.0</v>
      </c>
      <c r="M2" s="7">
        <f t="shared" ref="M2:M9" si="1">SUM(N2 -(L2+K2))</f>
        <v>0</v>
      </c>
      <c r="N2" s="7">
        <f t="shared" ref="N2:N9" si="2">SUM(G2 + H2)</f>
        <v>26</v>
      </c>
      <c r="O2" s="4" t="s">
        <v>140</v>
      </c>
    </row>
    <row r="3">
      <c r="A3" s="4" t="s">
        <v>17</v>
      </c>
      <c r="B3" s="4" t="s">
        <v>11</v>
      </c>
      <c r="C3" s="4"/>
      <c r="D3" s="4" t="s">
        <v>18</v>
      </c>
      <c r="E3" s="4">
        <v>68.9</v>
      </c>
      <c r="F3" s="4">
        <v>8.3</v>
      </c>
      <c r="G3" s="4">
        <v>8.0</v>
      </c>
      <c r="H3" s="4">
        <v>5.0</v>
      </c>
      <c r="I3" s="4">
        <v>83.4</v>
      </c>
      <c r="J3" s="4">
        <v>12.0</v>
      </c>
      <c r="K3" s="4">
        <v>1.0</v>
      </c>
      <c r="L3" s="4">
        <v>12.0</v>
      </c>
      <c r="M3" s="7">
        <f t="shared" si="1"/>
        <v>0</v>
      </c>
      <c r="N3" s="7">
        <f t="shared" si="2"/>
        <v>13</v>
      </c>
      <c r="O3" s="4" t="s">
        <v>140</v>
      </c>
    </row>
    <row r="4">
      <c r="A4" s="4" t="s">
        <v>19</v>
      </c>
      <c r="B4" s="4" t="s">
        <v>11</v>
      </c>
      <c r="C4" s="4"/>
      <c r="D4" s="4" t="s">
        <v>20</v>
      </c>
      <c r="E4" s="4">
        <v>71.4</v>
      </c>
      <c r="F4" s="4">
        <v>7.1</v>
      </c>
      <c r="G4" s="4">
        <v>25.0</v>
      </c>
      <c r="H4" s="4">
        <v>10.0</v>
      </c>
      <c r="I4" s="4" t="s">
        <v>141</v>
      </c>
      <c r="J4" s="4">
        <v>21.0</v>
      </c>
      <c r="K4" s="4">
        <v>11.0</v>
      </c>
      <c r="L4" s="4">
        <v>24.0</v>
      </c>
      <c r="M4" s="7">
        <f t="shared" si="1"/>
        <v>0</v>
      </c>
      <c r="N4" s="7">
        <f t="shared" si="2"/>
        <v>35</v>
      </c>
      <c r="O4" s="4" t="s">
        <v>140</v>
      </c>
    </row>
    <row r="5">
      <c r="A5" s="4" t="s">
        <v>21</v>
      </c>
      <c r="B5" s="4" t="s">
        <v>11</v>
      </c>
      <c r="C5" s="4"/>
      <c r="D5" s="4" t="s">
        <v>18</v>
      </c>
      <c r="E5" s="4">
        <v>69.8</v>
      </c>
      <c r="F5" s="4">
        <v>7.7</v>
      </c>
      <c r="G5" s="4">
        <v>6.0</v>
      </c>
      <c r="H5" s="4">
        <v>11.0</v>
      </c>
      <c r="I5" s="4" t="s">
        <v>142</v>
      </c>
      <c r="J5" s="4">
        <v>10.0</v>
      </c>
      <c r="K5" s="4">
        <v>5.0</v>
      </c>
      <c r="L5" s="4">
        <v>12.0</v>
      </c>
      <c r="M5" s="7">
        <f t="shared" si="1"/>
        <v>0</v>
      </c>
      <c r="N5" s="7">
        <f t="shared" si="2"/>
        <v>17</v>
      </c>
      <c r="O5" s="4" t="s">
        <v>140</v>
      </c>
    </row>
    <row r="6">
      <c r="A6" s="4" t="s">
        <v>22</v>
      </c>
      <c r="B6" s="4" t="s">
        <v>23</v>
      </c>
      <c r="C6" s="4"/>
      <c r="D6" s="4" t="s">
        <v>12</v>
      </c>
      <c r="E6" s="4">
        <v>75.1</v>
      </c>
      <c r="G6" s="4">
        <v>72.0</v>
      </c>
      <c r="H6" s="4">
        <v>54.0</v>
      </c>
      <c r="I6" s="4">
        <v>81.7</v>
      </c>
      <c r="K6" s="4">
        <v>39.0</v>
      </c>
      <c r="L6" s="4">
        <v>87.0</v>
      </c>
      <c r="M6" s="7">
        <f t="shared" si="1"/>
        <v>0</v>
      </c>
      <c r="N6" s="7">
        <f t="shared" si="2"/>
        <v>126</v>
      </c>
    </row>
    <row r="7">
      <c r="A7" s="4" t="s">
        <v>25</v>
      </c>
      <c r="B7" s="4" t="s">
        <v>23</v>
      </c>
      <c r="C7" s="4"/>
      <c r="D7" s="4" t="s">
        <v>20</v>
      </c>
      <c r="E7" s="4">
        <v>75.7</v>
      </c>
      <c r="G7" s="4">
        <v>65.0</v>
      </c>
      <c r="H7" s="4">
        <v>51.0</v>
      </c>
      <c r="I7" s="4">
        <v>78.4</v>
      </c>
      <c r="K7" s="4">
        <v>35.0</v>
      </c>
      <c r="L7" s="4">
        <v>81.0</v>
      </c>
      <c r="M7" s="7">
        <f t="shared" si="1"/>
        <v>0</v>
      </c>
      <c r="N7" s="7">
        <f t="shared" si="2"/>
        <v>116</v>
      </c>
    </row>
    <row r="8">
      <c r="A8" s="4" t="s">
        <v>26</v>
      </c>
      <c r="B8" s="4" t="s">
        <v>23</v>
      </c>
      <c r="C8" s="4"/>
      <c r="D8" s="4" t="s">
        <v>18</v>
      </c>
      <c r="E8" s="4">
        <v>75.3</v>
      </c>
      <c r="G8" s="4">
        <v>53.0</v>
      </c>
      <c r="H8" s="4">
        <v>65.0</v>
      </c>
      <c r="I8" s="4">
        <v>79.7</v>
      </c>
      <c r="K8" s="4">
        <v>32.0</v>
      </c>
      <c r="L8" s="4">
        <v>86.0</v>
      </c>
      <c r="M8" s="7">
        <f t="shared" si="1"/>
        <v>0</v>
      </c>
      <c r="N8" s="7">
        <f t="shared" si="2"/>
        <v>118</v>
      </c>
    </row>
    <row r="9">
      <c r="A9" s="4" t="s">
        <v>27</v>
      </c>
      <c r="C9" s="4" t="s">
        <v>143</v>
      </c>
      <c r="D9" s="4" t="s">
        <v>28</v>
      </c>
      <c r="E9" s="4">
        <v>67.26</v>
      </c>
      <c r="F9" s="4">
        <v>8.6</v>
      </c>
      <c r="G9" s="4">
        <v>8.0</v>
      </c>
      <c r="H9" s="4">
        <v>11.0</v>
      </c>
      <c r="I9" s="4">
        <v>89.5</v>
      </c>
      <c r="J9" s="4">
        <v>7.0</v>
      </c>
      <c r="K9" s="4">
        <v>7.0</v>
      </c>
      <c r="L9" s="4">
        <v>12.0</v>
      </c>
      <c r="M9" s="7">
        <f t="shared" si="1"/>
        <v>0</v>
      </c>
      <c r="N9" s="7">
        <f t="shared" si="2"/>
        <v>19</v>
      </c>
      <c r="O9" s="4" t="s">
        <v>144</v>
      </c>
    </row>
    <row r="10">
      <c r="A10" s="4" t="s">
        <v>31</v>
      </c>
      <c r="C10" s="4" t="s">
        <v>143</v>
      </c>
      <c r="D10" s="4" t="s">
        <v>32</v>
      </c>
      <c r="E10" s="4" t="s">
        <v>143</v>
      </c>
      <c r="F10" s="4" t="s">
        <v>143</v>
      </c>
      <c r="G10" s="4" t="s">
        <v>143</v>
      </c>
      <c r="H10" s="4" t="s">
        <v>143</v>
      </c>
      <c r="I10" s="4"/>
      <c r="J10" s="4" t="s">
        <v>143</v>
      </c>
      <c r="K10" s="4" t="s">
        <v>143</v>
      </c>
      <c r="L10" s="4" t="s">
        <v>143</v>
      </c>
      <c r="M10" s="4" t="s">
        <v>143</v>
      </c>
      <c r="N10" s="4" t="s">
        <v>143</v>
      </c>
    </row>
    <row r="11">
      <c r="A11" s="4" t="s">
        <v>34</v>
      </c>
      <c r="C11" s="4" t="s">
        <v>143</v>
      </c>
      <c r="D11" s="4" t="s">
        <v>35</v>
      </c>
      <c r="E11" s="4" t="s">
        <v>143</v>
      </c>
      <c r="F11" s="4" t="s">
        <v>143</v>
      </c>
      <c r="G11" s="4" t="s">
        <v>143</v>
      </c>
      <c r="H11" s="4" t="s">
        <v>143</v>
      </c>
      <c r="I11" s="4"/>
      <c r="J11" s="4" t="s">
        <v>143</v>
      </c>
      <c r="K11" s="4" t="s">
        <v>143</v>
      </c>
      <c r="L11" s="4" t="s">
        <v>143</v>
      </c>
      <c r="M11" s="4" t="s">
        <v>143</v>
      </c>
      <c r="N11" s="4" t="s">
        <v>143</v>
      </c>
    </row>
    <row r="12">
      <c r="A12" s="4" t="s">
        <v>37</v>
      </c>
      <c r="D12" s="4" t="s">
        <v>18</v>
      </c>
      <c r="E12" s="4">
        <v>70.0</v>
      </c>
      <c r="F12" s="4">
        <v>8.81</v>
      </c>
      <c r="G12" s="4">
        <v>4.0</v>
      </c>
      <c r="H12" s="4">
        <v>3.0</v>
      </c>
      <c r="I12" s="4">
        <v>100.0</v>
      </c>
      <c r="J12" s="4">
        <v>5.0</v>
      </c>
      <c r="K12" s="4">
        <v>2.0</v>
      </c>
      <c r="L12" s="4">
        <v>5.0</v>
      </c>
      <c r="M12" s="7">
        <f t="shared" ref="M12:M35" si="3">SUM(N12 -(L12+K12))</f>
        <v>0</v>
      </c>
      <c r="N12" s="7">
        <f t="shared" ref="N12:N35" si="4">SUM(G12 + H12)</f>
        <v>7</v>
      </c>
      <c r="O12" s="4" t="s">
        <v>144</v>
      </c>
    </row>
    <row r="13">
      <c r="A13" s="4" t="s">
        <v>38</v>
      </c>
      <c r="B13" s="4" t="s">
        <v>39</v>
      </c>
      <c r="D13" s="4" t="s">
        <v>40</v>
      </c>
      <c r="E13" s="4">
        <v>70.3</v>
      </c>
      <c r="F13" s="4">
        <v>6.8</v>
      </c>
      <c r="G13" s="4">
        <v>47.0</v>
      </c>
      <c r="H13" s="4">
        <v>39.0</v>
      </c>
      <c r="I13" s="4">
        <v>65.1</v>
      </c>
      <c r="J13" s="4">
        <v>42.0</v>
      </c>
      <c r="K13" s="4">
        <v>23.0</v>
      </c>
      <c r="L13" s="4">
        <v>63.0</v>
      </c>
      <c r="M13" s="7">
        <f t="shared" si="3"/>
        <v>0</v>
      </c>
      <c r="N13" s="7">
        <f t="shared" si="4"/>
        <v>86</v>
      </c>
    </row>
    <row r="14">
      <c r="A14" s="4" t="s">
        <v>42</v>
      </c>
      <c r="B14" s="4" t="s">
        <v>39</v>
      </c>
      <c r="D14" s="4" t="s">
        <v>43</v>
      </c>
      <c r="E14" s="4">
        <v>69.0</v>
      </c>
      <c r="F14" s="4">
        <v>7.1</v>
      </c>
      <c r="G14" s="4">
        <v>74.0</v>
      </c>
      <c r="H14" s="4">
        <v>52.0</v>
      </c>
      <c r="I14" s="4">
        <v>71.4</v>
      </c>
      <c r="J14" s="4">
        <v>29.0</v>
      </c>
      <c r="K14" s="4">
        <v>34.0</v>
      </c>
      <c r="L14" s="4">
        <v>92.0</v>
      </c>
      <c r="M14" s="7">
        <f t="shared" si="3"/>
        <v>0</v>
      </c>
      <c r="N14" s="7">
        <f t="shared" si="4"/>
        <v>126</v>
      </c>
    </row>
    <row r="15">
      <c r="A15" s="4" t="s">
        <v>44</v>
      </c>
      <c r="B15" s="4" t="s">
        <v>39</v>
      </c>
      <c r="D15" s="4" t="s">
        <v>45</v>
      </c>
      <c r="E15" s="4">
        <v>69.4</v>
      </c>
      <c r="F15" s="4">
        <v>6.8</v>
      </c>
      <c r="G15" s="4">
        <v>43.0</v>
      </c>
      <c r="H15" s="4">
        <v>41.0</v>
      </c>
      <c r="I15" s="4">
        <v>63.1</v>
      </c>
      <c r="J15" s="4">
        <v>35.0</v>
      </c>
      <c r="K15" s="4">
        <v>21.0</v>
      </c>
      <c r="L15" s="4">
        <v>63.0</v>
      </c>
      <c r="M15" s="7">
        <f t="shared" si="3"/>
        <v>0</v>
      </c>
      <c r="N15" s="7">
        <f t="shared" si="4"/>
        <v>84</v>
      </c>
    </row>
    <row r="16">
      <c r="A16" s="4" t="s">
        <v>46</v>
      </c>
      <c r="B16" s="4" t="s">
        <v>39</v>
      </c>
      <c r="D16" s="4" t="s">
        <v>18</v>
      </c>
      <c r="E16" s="4">
        <v>69.8</v>
      </c>
      <c r="F16" s="4">
        <v>7.3</v>
      </c>
      <c r="G16" s="4">
        <v>71.0</v>
      </c>
      <c r="H16" s="4">
        <v>55.0</v>
      </c>
      <c r="I16" s="4">
        <v>71.4</v>
      </c>
      <c r="J16" s="4">
        <v>29.0</v>
      </c>
      <c r="K16" s="4">
        <v>35.0</v>
      </c>
      <c r="L16" s="4">
        <v>91.0</v>
      </c>
      <c r="M16" s="7">
        <f t="shared" si="3"/>
        <v>0</v>
      </c>
      <c r="N16" s="7">
        <f t="shared" si="4"/>
        <v>126</v>
      </c>
    </row>
    <row r="17">
      <c r="A17" s="4" t="s">
        <v>47</v>
      </c>
      <c r="B17" s="4" t="s">
        <v>48</v>
      </c>
      <c r="C17" s="4" t="s">
        <v>145</v>
      </c>
      <c r="D17" s="4" t="s">
        <v>49</v>
      </c>
      <c r="E17" s="4">
        <v>71.0</v>
      </c>
      <c r="G17" s="4">
        <v>84.0</v>
      </c>
      <c r="H17" s="4">
        <v>39.0</v>
      </c>
      <c r="I17" s="4">
        <v>74.0</v>
      </c>
      <c r="J17" s="4">
        <v>61.0</v>
      </c>
      <c r="K17" s="4">
        <v>43.0</v>
      </c>
      <c r="L17" s="4">
        <v>80.0</v>
      </c>
      <c r="M17" s="7">
        <f t="shared" si="3"/>
        <v>0</v>
      </c>
      <c r="N17" s="7">
        <f t="shared" si="4"/>
        <v>123</v>
      </c>
    </row>
    <row r="18">
      <c r="A18" s="4" t="s">
        <v>51</v>
      </c>
      <c r="B18" s="4" t="s">
        <v>48</v>
      </c>
      <c r="D18" s="4" t="s">
        <v>18</v>
      </c>
      <c r="E18" s="4">
        <v>73.0</v>
      </c>
      <c r="G18" s="4">
        <v>70.0</v>
      </c>
      <c r="H18" s="4">
        <v>45.0</v>
      </c>
      <c r="I18" s="4">
        <v>81.0</v>
      </c>
      <c r="J18" s="4">
        <v>55.0</v>
      </c>
      <c r="K18" s="4">
        <v>45.0</v>
      </c>
      <c r="L18" s="4">
        <v>70.0</v>
      </c>
      <c r="M18" s="7">
        <f t="shared" si="3"/>
        <v>0</v>
      </c>
      <c r="N18" s="7">
        <f t="shared" si="4"/>
        <v>115</v>
      </c>
    </row>
    <row r="19">
      <c r="A19" s="4" t="s">
        <v>52</v>
      </c>
      <c r="C19" s="4" t="s">
        <v>146</v>
      </c>
      <c r="D19" s="4" t="s">
        <v>49</v>
      </c>
      <c r="E19" s="4">
        <v>70.1</v>
      </c>
      <c r="F19" s="4">
        <v>0.82</v>
      </c>
      <c r="G19" s="4">
        <v>61.0</v>
      </c>
      <c r="H19" s="4">
        <v>61.0</v>
      </c>
      <c r="I19" s="4">
        <v>95.1</v>
      </c>
      <c r="K19" s="4">
        <v>47.0</v>
      </c>
      <c r="L19" s="4">
        <v>72.0</v>
      </c>
      <c r="M19" s="7">
        <f t="shared" si="3"/>
        <v>3</v>
      </c>
      <c r="N19" s="7">
        <f t="shared" si="4"/>
        <v>122</v>
      </c>
    </row>
    <row r="20">
      <c r="A20" s="4" t="s">
        <v>55</v>
      </c>
      <c r="D20" s="4" t="s">
        <v>18</v>
      </c>
      <c r="E20" s="4">
        <v>67.9</v>
      </c>
      <c r="F20" s="4">
        <v>0.85</v>
      </c>
      <c r="G20" s="4">
        <v>64.0</v>
      </c>
      <c r="H20" s="4">
        <v>43.0</v>
      </c>
      <c r="I20" s="4">
        <v>96.3</v>
      </c>
      <c r="K20" s="4">
        <v>32.0</v>
      </c>
      <c r="L20" s="4">
        <v>74.0</v>
      </c>
      <c r="M20" s="7">
        <f t="shared" si="3"/>
        <v>1</v>
      </c>
      <c r="N20" s="7">
        <f t="shared" si="4"/>
        <v>107</v>
      </c>
    </row>
    <row r="21">
      <c r="A21" s="4" t="s">
        <v>59</v>
      </c>
      <c r="B21" s="4" t="s">
        <v>60</v>
      </c>
      <c r="D21" s="4" t="s">
        <v>61</v>
      </c>
      <c r="E21" s="4">
        <v>71.2</v>
      </c>
      <c r="F21" s="4">
        <v>6.3</v>
      </c>
      <c r="G21" s="4">
        <v>66.0</v>
      </c>
      <c r="H21" s="4">
        <v>56.0</v>
      </c>
      <c r="I21" s="4">
        <v>84.4</v>
      </c>
      <c r="J21" s="4">
        <v>86.0</v>
      </c>
      <c r="K21" s="4">
        <v>44.0</v>
      </c>
      <c r="L21" s="4">
        <v>78.0</v>
      </c>
      <c r="M21" s="7">
        <f t="shared" si="3"/>
        <v>0</v>
      </c>
      <c r="N21" s="7">
        <f t="shared" si="4"/>
        <v>122</v>
      </c>
      <c r="O21" s="4" t="s">
        <v>144</v>
      </c>
    </row>
    <row r="22">
      <c r="A22" s="4" t="s">
        <v>63</v>
      </c>
      <c r="B22" s="4" t="s">
        <v>60</v>
      </c>
      <c r="D22" s="4" t="s">
        <v>64</v>
      </c>
      <c r="E22" s="4">
        <v>70.3</v>
      </c>
      <c r="F22" s="4">
        <v>7.2</v>
      </c>
      <c r="G22" s="4">
        <v>30.0</v>
      </c>
      <c r="H22" s="4">
        <v>32.0</v>
      </c>
      <c r="I22" s="4">
        <v>87.1</v>
      </c>
      <c r="J22" s="4">
        <v>44.0</v>
      </c>
      <c r="K22" s="4">
        <v>22.0</v>
      </c>
      <c r="L22" s="4">
        <v>40.0</v>
      </c>
      <c r="M22" s="7">
        <f t="shared" si="3"/>
        <v>0</v>
      </c>
      <c r="N22" s="7">
        <f t="shared" si="4"/>
        <v>62</v>
      </c>
      <c r="O22" s="4" t="s">
        <v>144</v>
      </c>
    </row>
    <row r="23">
      <c r="A23" s="4" t="s">
        <v>65</v>
      </c>
      <c r="B23" s="4" t="s">
        <v>60</v>
      </c>
      <c r="D23" s="4" t="s">
        <v>66</v>
      </c>
      <c r="E23" s="4">
        <v>70.9</v>
      </c>
      <c r="F23" s="4">
        <v>6.9</v>
      </c>
      <c r="G23" s="4">
        <v>84.0</v>
      </c>
      <c r="H23" s="4">
        <v>81.0</v>
      </c>
      <c r="I23" s="4">
        <v>88.5</v>
      </c>
      <c r="J23" s="4">
        <v>121.0</v>
      </c>
      <c r="K23" s="4">
        <v>48.0</v>
      </c>
      <c r="L23" s="4">
        <v>117.0</v>
      </c>
      <c r="M23" s="7">
        <f t="shared" si="3"/>
        <v>0</v>
      </c>
      <c r="N23" s="7">
        <f t="shared" si="4"/>
        <v>165</v>
      </c>
      <c r="O23" s="4" t="s">
        <v>144</v>
      </c>
    </row>
    <row r="24">
      <c r="A24" s="4" t="s">
        <v>65</v>
      </c>
      <c r="B24" s="4" t="s">
        <v>60</v>
      </c>
      <c r="D24" s="4" t="s">
        <v>67</v>
      </c>
      <c r="E24" s="4">
        <v>69.9</v>
      </c>
      <c r="F24" s="4">
        <v>7.1</v>
      </c>
      <c r="G24" s="4">
        <v>48.0</v>
      </c>
      <c r="H24" s="4">
        <v>36.0</v>
      </c>
      <c r="I24" s="4">
        <v>86.9</v>
      </c>
      <c r="J24" s="4">
        <v>61.0</v>
      </c>
      <c r="K24" s="4">
        <v>24.0</v>
      </c>
      <c r="L24" s="4">
        <v>60.0</v>
      </c>
      <c r="M24" s="7">
        <f t="shared" si="3"/>
        <v>0</v>
      </c>
      <c r="N24" s="7">
        <f t="shared" si="4"/>
        <v>84</v>
      </c>
      <c r="O24" s="4" t="s">
        <v>144</v>
      </c>
    </row>
    <row r="25">
      <c r="A25" s="4" t="s">
        <v>68</v>
      </c>
      <c r="B25" s="4" t="s">
        <v>69</v>
      </c>
      <c r="C25" s="4" t="s">
        <v>105</v>
      </c>
      <c r="D25" s="4" t="s">
        <v>61</v>
      </c>
      <c r="E25" s="4">
        <v>70.4</v>
      </c>
      <c r="F25" s="4">
        <v>6.8</v>
      </c>
      <c r="G25" s="4">
        <v>28.0</v>
      </c>
      <c r="H25" s="4">
        <v>30.0</v>
      </c>
      <c r="I25" s="4">
        <v>65.5</v>
      </c>
      <c r="J25" s="4">
        <v>25.0</v>
      </c>
      <c r="K25" s="4">
        <v>21.0</v>
      </c>
      <c r="L25" s="4">
        <v>35.0</v>
      </c>
      <c r="M25" s="7">
        <f t="shared" si="3"/>
        <v>2</v>
      </c>
      <c r="N25" s="7">
        <f t="shared" si="4"/>
        <v>58</v>
      </c>
    </row>
    <row r="26">
      <c r="A26" s="4" t="s">
        <v>68</v>
      </c>
      <c r="B26" s="4" t="s">
        <v>69</v>
      </c>
      <c r="C26" s="4" t="s">
        <v>107</v>
      </c>
      <c r="D26" s="4" t="s">
        <v>61</v>
      </c>
      <c r="E26" s="4">
        <v>70.3</v>
      </c>
      <c r="F26" s="4">
        <v>6.8</v>
      </c>
      <c r="G26" s="4">
        <v>26.0</v>
      </c>
      <c r="H26" s="4">
        <v>32.0</v>
      </c>
      <c r="I26" s="4">
        <v>63.8</v>
      </c>
      <c r="J26" s="4">
        <v>31.0</v>
      </c>
      <c r="K26" s="4">
        <v>15.0</v>
      </c>
      <c r="L26" s="4">
        <v>43.0</v>
      </c>
      <c r="M26" s="7">
        <f t="shared" si="3"/>
        <v>0</v>
      </c>
      <c r="N26" s="7">
        <f t="shared" si="4"/>
        <v>58</v>
      </c>
    </row>
    <row r="27">
      <c r="A27" s="4" t="s">
        <v>71</v>
      </c>
      <c r="B27" s="4" t="s">
        <v>69</v>
      </c>
      <c r="C27" s="4"/>
      <c r="D27" s="4" t="s">
        <v>72</v>
      </c>
      <c r="E27" s="4">
        <v>69.7</v>
      </c>
      <c r="F27" s="4">
        <v>6.7</v>
      </c>
      <c r="G27" s="4">
        <v>55.0</v>
      </c>
      <c r="H27" s="4">
        <v>51.0</v>
      </c>
      <c r="I27" s="4">
        <v>65.1</v>
      </c>
      <c r="J27" s="4">
        <v>51.0</v>
      </c>
      <c r="K27" s="4">
        <v>40.0</v>
      </c>
      <c r="L27" s="4">
        <v>66.0</v>
      </c>
      <c r="M27" s="7">
        <f t="shared" si="3"/>
        <v>0</v>
      </c>
      <c r="N27" s="7">
        <f t="shared" si="4"/>
        <v>106</v>
      </c>
    </row>
    <row r="28">
      <c r="A28" s="4" t="s">
        <v>73</v>
      </c>
      <c r="B28" s="4" t="s">
        <v>69</v>
      </c>
      <c r="C28" s="4"/>
      <c r="D28" s="4" t="s">
        <v>66</v>
      </c>
      <c r="E28" s="4">
        <v>69.4</v>
      </c>
      <c r="F28" s="4">
        <v>7.1</v>
      </c>
      <c r="G28" s="4">
        <v>112.0</v>
      </c>
      <c r="H28" s="4">
        <v>102.0</v>
      </c>
      <c r="I28" s="4">
        <v>64.0</v>
      </c>
      <c r="J28" s="4">
        <v>98.0</v>
      </c>
      <c r="K28" s="4">
        <v>54.0</v>
      </c>
      <c r="L28" s="4">
        <v>160.0</v>
      </c>
      <c r="M28" s="7">
        <f t="shared" si="3"/>
        <v>0</v>
      </c>
      <c r="N28" s="7">
        <f t="shared" si="4"/>
        <v>214</v>
      </c>
    </row>
    <row r="29">
      <c r="A29" s="4" t="s">
        <v>74</v>
      </c>
      <c r="B29" s="4" t="s">
        <v>69</v>
      </c>
      <c r="C29" s="4"/>
      <c r="D29" s="4" t="s">
        <v>18</v>
      </c>
      <c r="E29" s="4">
        <v>69.8</v>
      </c>
      <c r="F29" s="4">
        <v>6.6</v>
      </c>
      <c r="G29" s="4">
        <v>106.0</v>
      </c>
      <c r="H29" s="4">
        <v>108.0</v>
      </c>
      <c r="I29" s="4">
        <v>65.0</v>
      </c>
      <c r="J29" s="4">
        <v>98.0</v>
      </c>
      <c r="K29" s="4">
        <v>54.0</v>
      </c>
      <c r="L29" s="4">
        <v>157.0</v>
      </c>
      <c r="M29" s="7">
        <f t="shared" si="3"/>
        <v>3</v>
      </c>
      <c r="N29" s="7">
        <f t="shared" si="4"/>
        <v>214</v>
      </c>
    </row>
    <row r="30">
      <c r="A30" s="4" t="s">
        <v>75</v>
      </c>
      <c r="B30" s="4" t="s">
        <v>76</v>
      </c>
      <c r="D30" s="4" t="s">
        <v>77</v>
      </c>
      <c r="E30" s="4">
        <v>71.0</v>
      </c>
      <c r="G30" s="4">
        <v>26.0</v>
      </c>
      <c r="H30" s="4">
        <v>26.0</v>
      </c>
      <c r="I30" s="4">
        <v>96.2</v>
      </c>
      <c r="J30" s="4">
        <v>34.0</v>
      </c>
      <c r="K30" s="7">
        <f t="shared" ref="K30:K35" si="5">MINUS(N30,L30)</f>
        <v>14</v>
      </c>
      <c r="L30" s="4">
        <v>38.0</v>
      </c>
      <c r="M30" s="7">
        <f t="shared" si="3"/>
        <v>0</v>
      </c>
      <c r="N30" s="7">
        <f t="shared" si="4"/>
        <v>52</v>
      </c>
      <c r="O30" s="4" t="s">
        <v>147</v>
      </c>
    </row>
    <row r="31">
      <c r="A31" s="4" t="s">
        <v>79</v>
      </c>
      <c r="B31" s="4" t="s">
        <v>76</v>
      </c>
      <c r="D31" s="4" t="s">
        <v>80</v>
      </c>
      <c r="E31" s="4">
        <v>71.0</v>
      </c>
      <c r="G31" s="4">
        <v>24.0</v>
      </c>
      <c r="H31" s="4">
        <v>24.0</v>
      </c>
      <c r="I31" s="4">
        <v>95.8</v>
      </c>
      <c r="J31" s="4">
        <v>33.0</v>
      </c>
      <c r="K31" s="7">
        <f t="shared" si="5"/>
        <v>11</v>
      </c>
      <c r="L31" s="4">
        <v>37.0</v>
      </c>
      <c r="M31" s="7">
        <f t="shared" si="3"/>
        <v>0</v>
      </c>
      <c r="N31" s="7">
        <f t="shared" si="4"/>
        <v>48</v>
      </c>
      <c r="O31" s="4" t="s">
        <v>147</v>
      </c>
    </row>
    <row r="32">
      <c r="A32" s="4" t="s">
        <v>81</v>
      </c>
      <c r="B32" s="4" t="s">
        <v>76</v>
      </c>
      <c r="D32" s="4" t="s">
        <v>82</v>
      </c>
      <c r="E32" s="4">
        <v>72.0</v>
      </c>
      <c r="G32" s="4">
        <v>48.0</v>
      </c>
      <c r="H32" s="4">
        <v>41.0</v>
      </c>
      <c r="I32" s="4">
        <v>97.8</v>
      </c>
      <c r="J32" s="4">
        <v>52.0</v>
      </c>
      <c r="K32" s="7">
        <f t="shared" si="5"/>
        <v>8</v>
      </c>
      <c r="L32" s="4">
        <v>81.0</v>
      </c>
      <c r="M32" s="7">
        <f t="shared" si="3"/>
        <v>0</v>
      </c>
      <c r="N32" s="7">
        <f t="shared" si="4"/>
        <v>89</v>
      </c>
      <c r="O32" s="4" t="s">
        <v>147</v>
      </c>
    </row>
    <row r="33">
      <c r="A33" s="4" t="s">
        <v>83</v>
      </c>
      <c r="B33" s="4" t="s">
        <v>76</v>
      </c>
      <c r="D33" s="4" t="s">
        <v>84</v>
      </c>
      <c r="E33" s="4">
        <v>71.0</v>
      </c>
      <c r="G33" s="4">
        <v>110.0</v>
      </c>
      <c r="H33" s="4">
        <v>136.0</v>
      </c>
      <c r="I33" s="4">
        <v>94.7</v>
      </c>
      <c r="J33" s="4">
        <v>166.0</v>
      </c>
      <c r="K33" s="7">
        <f t="shared" si="5"/>
        <v>28</v>
      </c>
      <c r="L33" s="4">
        <v>218.0</v>
      </c>
      <c r="M33" s="7">
        <f t="shared" si="3"/>
        <v>0</v>
      </c>
      <c r="N33" s="7">
        <f t="shared" si="4"/>
        <v>246</v>
      </c>
      <c r="O33" s="4" t="s">
        <v>147</v>
      </c>
    </row>
    <row r="34">
      <c r="A34" s="4" t="s">
        <v>85</v>
      </c>
      <c r="B34" s="4" t="s">
        <v>76</v>
      </c>
      <c r="D34" s="4" t="s">
        <v>86</v>
      </c>
      <c r="E34" s="4">
        <v>73.0</v>
      </c>
      <c r="G34" s="4">
        <v>64.0</v>
      </c>
      <c r="H34" s="4">
        <v>88.0</v>
      </c>
      <c r="I34" s="4">
        <v>94.7</v>
      </c>
      <c r="J34" s="4">
        <v>90.0</v>
      </c>
      <c r="K34" s="7">
        <f t="shared" si="5"/>
        <v>106</v>
      </c>
      <c r="L34" s="4">
        <v>46.0</v>
      </c>
      <c r="M34" s="7">
        <f t="shared" si="3"/>
        <v>0</v>
      </c>
      <c r="N34" s="7">
        <f t="shared" si="4"/>
        <v>152</v>
      </c>
      <c r="O34" s="4" t="s">
        <v>147</v>
      </c>
    </row>
    <row r="35">
      <c r="A35" s="4" t="s">
        <v>87</v>
      </c>
      <c r="B35" s="4" t="s">
        <v>76</v>
      </c>
      <c r="D35" s="4" t="s">
        <v>18</v>
      </c>
      <c r="E35" s="4">
        <v>72.0</v>
      </c>
      <c r="G35" s="4">
        <v>137.0</v>
      </c>
      <c r="H35" s="4">
        <v>101.0</v>
      </c>
      <c r="I35" s="4">
        <v>95.0</v>
      </c>
      <c r="J35" s="4">
        <v>154.0</v>
      </c>
      <c r="K35" s="7">
        <f t="shared" si="5"/>
        <v>69</v>
      </c>
      <c r="L35" s="4">
        <v>169.0</v>
      </c>
      <c r="M35" s="7">
        <f t="shared" si="3"/>
        <v>0</v>
      </c>
      <c r="N35" s="7">
        <f t="shared" si="4"/>
        <v>238</v>
      </c>
      <c r="O35" s="4" t="s">
        <v>147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1" t="s">
        <v>129</v>
      </c>
      <c r="C1" s="1" t="s">
        <v>109</v>
      </c>
      <c r="D1" s="1" t="s">
        <v>2</v>
      </c>
      <c r="E1" s="1" t="s">
        <v>148</v>
      </c>
      <c r="F1" s="1" t="s">
        <v>149</v>
      </c>
      <c r="G1" s="1" t="s">
        <v>131</v>
      </c>
      <c r="H1" s="5" t="s">
        <v>139</v>
      </c>
      <c r="I1" s="1" t="s">
        <v>114</v>
      </c>
    </row>
    <row r="2">
      <c r="A2" s="4" t="s">
        <v>10</v>
      </c>
      <c r="C2" s="4" t="s">
        <v>11</v>
      </c>
      <c r="D2" s="4" t="s">
        <v>12</v>
      </c>
      <c r="E2" s="4">
        <v>12.0</v>
      </c>
      <c r="F2" s="4">
        <v>29.4</v>
      </c>
      <c r="G2" s="4">
        <v>9.7</v>
      </c>
      <c r="H2" s="4">
        <v>26.0</v>
      </c>
    </row>
    <row r="3">
      <c r="A3" s="4" t="s">
        <v>17</v>
      </c>
      <c r="C3" s="4" t="s">
        <v>11</v>
      </c>
      <c r="D3" s="4" t="s">
        <v>18</v>
      </c>
      <c r="E3" s="4">
        <v>12.0</v>
      </c>
      <c r="F3" s="4">
        <v>28.9</v>
      </c>
      <c r="G3" s="4">
        <v>7.4</v>
      </c>
      <c r="H3" s="4">
        <v>13.0</v>
      </c>
    </row>
    <row r="4">
      <c r="A4" s="4" t="s">
        <v>19</v>
      </c>
      <c r="C4" s="4" t="s">
        <v>11</v>
      </c>
      <c r="D4" s="4" t="s">
        <v>20</v>
      </c>
      <c r="E4" s="4">
        <v>12.0</v>
      </c>
      <c r="F4" s="4">
        <v>31.2</v>
      </c>
      <c r="G4" s="4">
        <v>9.9</v>
      </c>
      <c r="H4" s="4">
        <v>35.0</v>
      </c>
    </row>
    <row r="5">
      <c r="A5" s="4" t="s">
        <v>21</v>
      </c>
      <c r="C5" s="4" t="s">
        <v>11</v>
      </c>
      <c r="D5" s="4" t="s">
        <v>18</v>
      </c>
      <c r="E5" s="4">
        <v>12.0</v>
      </c>
      <c r="F5" s="4">
        <v>34.5</v>
      </c>
      <c r="G5" s="4">
        <v>11.1</v>
      </c>
      <c r="H5" s="4">
        <v>17.0</v>
      </c>
    </row>
    <row r="6">
      <c r="A6" s="4" t="s">
        <v>22</v>
      </c>
      <c r="C6" s="4" t="s">
        <v>23</v>
      </c>
      <c r="D6" s="4" t="s">
        <v>12</v>
      </c>
      <c r="E6" s="4">
        <v>13.0</v>
      </c>
      <c r="F6" s="4">
        <v>28.08</v>
      </c>
      <c r="G6" s="4">
        <v>8.37</v>
      </c>
      <c r="H6" s="4">
        <v>126.0</v>
      </c>
    </row>
    <row r="7">
      <c r="A7" s="4" t="s">
        <v>25</v>
      </c>
      <c r="C7" s="4" t="s">
        <v>23</v>
      </c>
      <c r="D7" s="4" t="s">
        <v>20</v>
      </c>
      <c r="E7" s="4">
        <v>13.0</v>
      </c>
      <c r="F7" s="4">
        <v>29.63</v>
      </c>
      <c r="G7" s="4">
        <v>7.23</v>
      </c>
      <c r="H7" s="4">
        <v>116.0</v>
      </c>
    </row>
    <row r="8">
      <c r="A8" s="4" t="s">
        <v>26</v>
      </c>
      <c r="C8" s="4" t="s">
        <v>23</v>
      </c>
      <c r="D8" s="4" t="s">
        <v>18</v>
      </c>
      <c r="E8" s="4">
        <v>13.0</v>
      </c>
      <c r="F8" s="4">
        <v>28.78</v>
      </c>
      <c r="G8" s="4">
        <v>7.82</v>
      </c>
      <c r="H8" s="4">
        <v>118.0</v>
      </c>
    </row>
    <row r="9">
      <c r="A9" s="4" t="s">
        <v>27</v>
      </c>
      <c r="B9" s="4" t="s">
        <v>143</v>
      </c>
      <c r="D9" s="4" t="s">
        <v>28</v>
      </c>
      <c r="E9" s="4">
        <v>12.0</v>
      </c>
      <c r="F9" s="4">
        <v>31.26</v>
      </c>
      <c r="G9" s="4">
        <v>7.08</v>
      </c>
      <c r="H9" s="4">
        <v>19.0</v>
      </c>
    </row>
    <row r="10">
      <c r="A10" s="4" t="s">
        <v>31</v>
      </c>
      <c r="B10" s="4" t="s">
        <v>143</v>
      </c>
      <c r="D10" s="4" t="s">
        <v>32</v>
      </c>
      <c r="E10" s="4">
        <v>12.0</v>
      </c>
      <c r="F10" s="4" t="s">
        <v>143</v>
      </c>
      <c r="G10" s="4" t="s">
        <v>143</v>
      </c>
      <c r="H10" s="4" t="s">
        <v>143</v>
      </c>
    </row>
    <row r="11">
      <c r="A11" s="4" t="s">
        <v>34</v>
      </c>
      <c r="B11" s="4" t="s">
        <v>143</v>
      </c>
      <c r="D11" s="4" t="s">
        <v>35</v>
      </c>
      <c r="E11" s="4">
        <v>12.0</v>
      </c>
      <c r="F11" s="4" t="s">
        <v>143</v>
      </c>
      <c r="G11" s="4" t="s">
        <v>143</v>
      </c>
      <c r="H11" s="4" t="s">
        <v>143</v>
      </c>
    </row>
    <row r="12">
      <c r="A12" s="4" t="s">
        <v>37</v>
      </c>
      <c r="D12" s="4" t="s">
        <v>18</v>
      </c>
      <c r="E12" s="4">
        <v>12.0</v>
      </c>
      <c r="F12" s="4">
        <v>27.33</v>
      </c>
      <c r="G12" s="4">
        <v>6.67</v>
      </c>
      <c r="H12" s="4">
        <v>7.0</v>
      </c>
    </row>
    <row r="13">
      <c r="A13" s="4" t="s">
        <v>38</v>
      </c>
      <c r="D13" s="4" t="s">
        <v>40</v>
      </c>
      <c r="E13" s="4">
        <v>13.0</v>
      </c>
      <c r="F13" s="4">
        <v>27.5</v>
      </c>
      <c r="G13" s="4">
        <v>7.1</v>
      </c>
      <c r="H13" s="4">
        <v>86.0</v>
      </c>
    </row>
    <row r="14">
      <c r="A14" s="4" t="s">
        <v>42</v>
      </c>
      <c r="D14" s="4" t="s">
        <v>43</v>
      </c>
      <c r="E14" s="4">
        <v>13.0</v>
      </c>
      <c r="F14" s="4">
        <v>29.0</v>
      </c>
      <c r="G14" s="4">
        <v>7.5</v>
      </c>
      <c r="H14" s="4">
        <v>126.0</v>
      </c>
    </row>
    <row r="15">
      <c r="A15" s="4" t="s">
        <v>44</v>
      </c>
      <c r="D15" s="4" t="s">
        <v>45</v>
      </c>
      <c r="E15" s="4">
        <v>13.0</v>
      </c>
      <c r="F15" s="4">
        <v>28.9</v>
      </c>
      <c r="G15" s="4">
        <v>8.0</v>
      </c>
      <c r="H15" s="4">
        <v>84.0</v>
      </c>
    </row>
    <row r="16">
      <c r="A16" s="4" t="s">
        <v>46</v>
      </c>
      <c r="D16" s="4" t="s">
        <v>18</v>
      </c>
      <c r="E16" s="4">
        <v>13.0</v>
      </c>
      <c r="F16" s="4">
        <v>28.7</v>
      </c>
      <c r="G16" s="4">
        <v>8.1</v>
      </c>
      <c r="H16" s="4">
        <v>126.0</v>
      </c>
    </row>
    <row r="17">
      <c r="A17" s="4" t="s">
        <v>47</v>
      </c>
      <c r="B17" s="4" t="s">
        <v>145</v>
      </c>
      <c r="C17" s="4" t="s">
        <v>48</v>
      </c>
      <c r="D17" s="4" t="s">
        <v>49</v>
      </c>
      <c r="E17" s="4">
        <v>11.0</v>
      </c>
      <c r="F17" s="4">
        <v>23.9</v>
      </c>
      <c r="G17" s="4">
        <v>5.9</v>
      </c>
      <c r="H17" s="4">
        <v>123.0</v>
      </c>
    </row>
    <row r="18">
      <c r="A18" s="4" t="s">
        <v>51</v>
      </c>
      <c r="C18" s="4" t="s">
        <v>48</v>
      </c>
      <c r="D18" s="4" t="s">
        <v>18</v>
      </c>
      <c r="E18" s="4">
        <v>11.0</v>
      </c>
      <c r="F18" s="4">
        <v>24.1</v>
      </c>
      <c r="G18" s="4">
        <v>6.3</v>
      </c>
      <c r="H18" s="4">
        <v>115.0</v>
      </c>
    </row>
    <row r="19">
      <c r="A19" s="4" t="s">
        <v>52</v>
      </c>
      <c r="B19" s="4" t="s">
        <v>146</v>
      </c>
      <c r="D19" s="4" t="s">
        <v>49</v>
      </c>
      <c r="E19" s="4">
        <v>12.0</v>
      </c>
    </row>
    <row r="20">
      <c r="A20" s="4" t="s">
        <v>55</v>
      </c>
      <c r="D20" s="4" t="s">
        <v>18</v>
      </c>
      <c r="E20" s="4">
        <v>12.0</v>
      </c>
    </row>
    <row r="21">
      <c r="A21" s="4" t="s">
        <v>59</v>
      </c>
      <c r="C21" s="4" t="s">
        <v>60</v>
      </c>
      <c r="D21" s="4" t="s">
        <v>61</v>
      </c>
      <c r="E21" s="4">
        <v>12.0</v>
      </c>
      <c r="F21" s="4">
        <v>28.2</v>
      </c>
      <c r="G21" s="4">
        <v>8.5</v>
      </c>
      <c r="H21" s="4">
        <v>122.0</v>
      </c>
    </row>
    <row r="22">
      <c r="A22" s="4" t="s">
        <v>63</v>
      </c>
      <c r="C22" s="4" t="s">
        <v>60</v>
      </c>
      <c r="D22" s="4" t="s">
        <v>64</v>
      </c>
      <c r="E22" s="4">
        <v>12.0</v>
      </c>
      <c r="F22" s="4">
        <v>28.8</v>
      </c>
      <c r="G22" s="4">
        <v>9.5</v>
      </c>
      <c r="H22" s="4">
        <v>65.0</v>
      </c>
    </row>
    <row r="23">
      <c r="A23" s="4" t="s">
        <v>65</v>
      </c>
      <c r="C23" s="4" t="s">
        <v>60</v>
      </c>
      <c r="D23" s="4" t="s">
        <v>66</v>
      </c>
      <c r="E23" s="4">
        <v>12.0</v>
      </c>
      <c r="F23" s="4">
        <v>28.9</v>
      </c>
      <c r="G23" s="4">
        <v>9.2</v>
      </c>
      <c r="H23" s="4">
        <v>165.0</v>
      </c>
    </row>
    <row r="24">
      <c r="A24" s="4" t="s">
        <v>65</v>
      </c>
      <c r="C24" s="4" t="s">
        <v>60</v>
      </c>
      <c r="D24" s="4" t="s">
        <v>67</v>
      </c>
      <c r="E24" s="4">
        <v>12.0</v>
      </c>
      <c r="F24" s="4">
        <v>27.1</v>
      </c>
      <c r="G24" s="4">
        <v>7.5</v>
      </c>
      <c r="H24" s="4">
        <v>84.0</v>
      </c>
    </row>
    <row r="25">
      <c r="A25" s="4" t="s">
        <v>68</v>
      </c>
      <c r="B25" s="4" t="s">
        <v>105</v>
      </c>
      <c r="C25" s="4" t="s">
        <v>69</v>
      </c>
      <c r="D25" s="4" t="s">
        <v>61</v>
      </c>
      <c r="E25" s="4">
        <v>13.0</v>
      </c>
      <c r="F25" s="4">
        <v>25.6</v>
      </c>
      <c r="G25" s="4">
        <v>8.0</v>
      </c>
      <c r="H25" s="4">
        <v>58.0</v>
      </c>
    </row>
    <row r="26">
      <c r="A26" s="4" t="s">
        <v>68</v>
      </c>
      <c r="B26" s="4" t="s">
        <v>107</v>
      </c>
      <c r="C26" s="4" t="s">
        <v>69</v>
      </c>
      <c r="D26" s="4" t="s">
        <v>61</v>
      </c>
      <c r="E26" s="4">
        <v>13.0</v>
      </c>
      <c r="F26" s="4">
        <v>26.2</v>
      </c>
      <c r="G26" s="4">
        <v>8.7</v>
      </c>
      <c r="H26" s="4">
        <v>58.0</v>
      </c>
    </row>
    <row r="27">
      <c r="A27" s="4" t="s">
        <v>71</v>
      </c>
      <c r="C27" s="4" t="s">
        <v>69</v>
      </c>
      <c r="D27" s="4" t="s">
        <v>72</v>
      </c>
      <c r="E27" s="4">
        <v>13.0</v>
      </c>
      <c r="F27" s="4">
        <v>27.1</v>
      </c>
      <c r="G27" s="4">
        <v>8.8</v>
      </c>
      <c r="H27" s="4">
        <v>106.0</v>
      </c>
    </row>
    <row r="28">
      <c r="A28" s="4" t="s">
        <v>73</v>
      </c>
      <c r="C28" s="4" t="s">
        <v>69</v>
      </c>
      <c r="D28" s="4" t="s">
        <v>66</v>
      </c>
      <c r="E28" s="4">
        <v>13.0</v>
      </c>
      <c r="F28" s="4">
        <v>25.3</v>
      </c>
      <c r="G28" s="4">
        <v>7.7</v>
      </c>
      <c r="H28" s="4">
        <v>214.0</v>
      </c>
    </row>
    <row r="29">
      <c r="A29" s="4" t="s">
        <v>74</v>
      </c>
      <c r="C29" s="4" t="s">
        <v>69</v>
      </c>
      <c r="D29" s="4" t="s">
        <v>18</v>
      </c>
      <c r="E29" s="4">
        <v>13.0</v>
      </c>
      <c r="F29" s="4">
        <v>26.4</v>
      </c>
      <c r="G29" s="4">
        <v>8.4</v>
      </c>
      <c r="H29" s="4">
        <v>214.0</v>
      </c>
    </row>
    <row r="30">
      <c r="A30" s="4" t="s">
        <v>75</v>
      </c>
      <c r="C30" s="4" t="s">
        <v>76</v>
      </c>
      <c r="D30" s="4" t="s">
        <v>77</v>
      </c>
      <c r="E30" s="4">
        <v>14.0</v>
      </c>
      <c r="F30" s="4">
        <v>22.7</v>
      </c>
      <c r="G30" s="4">
        <v>8.1</v>
      </c>
      <c r="H30" s="4">
        <v>52.0</v>
      </c>
    </row>
    <row r="31">
      <c r="A31" s="4" t="s">
        <v>79</v>
      </c>
      <c r="C31" s="4" t="s">
        <v>76</v>
      </c>
      <c r="D31" s="4" t="s">
        <v>80</v>
      </c>
      <c r="E31" s="4">
        <v>14.0</v>
      </c>
      <c r="F31" s="4">
        <v>22.9</v>
      </c>
      <c r="G31" s="4">
        <v>7.7</v>
      </c>
      <c r="H31" s="4">
        <v>48.0</v>
      </c>
    </row>
    <row r="32">
      <c r="A32" s="4" t="s">
        <v>81</v>
      </c>
      <c r="C32" s="4" t="s">
        <v>76</v>
      </c>
      <c r="D32" s="4" t="s">
        <v>82</v>
      </c>
      <c r="E32" s="4">
        <v>14.0</v>
      </c>
      <c r="F32" s="4">
        <v>22.8</v>
      </c>
      <c r="G32" s="4">
        <v>6.7</v>
      </c>
      <c r="H32" s="4">
        <v>89.0</v>
      </c>
    </row>
    <row r="33">
      <c r="A33" s="4" t="s">
        <v>83</v>
      </c>
      <c r="C33" s="4" t="s">
        <v>76</v>
      </c>
      <c r="D33" s="4" t="s">
        <v>84</v>
      </c>
      <c r="E33" s="4">
        <v>14.0</v>
      </c>
      <c r="F33" s="4">
        <v>21.9</v>
      </c>
      <c r="G33" s="4">
        <v>7.3</v>
      </c>
      <c r="H33" s="4">
        <v>246.0</v>
      </c>
    </row>
    <row r="34">
      <c r="A34" s="4" t="s">
        <v>85</v>
      </c>
      <c r="C34" s="4" t="s">
        <v>76</v>
      </c>
      <c r="D34" s="4" t="s">
        <v>86</v>
      </c>
      <c r="E34" s="4">
        <v>14.0</v>
      </c>
      <c r="F34" s="4">
        <v>22.1</v>
      </c>
      <c r="G34" s="4">
        <v>7.7</v>
      </c>
      <c r="H34" s="4">
        <v>152.0</v>
      </c>
    </row>
    <row r="35">
      <c r="A35" s="4" t="s">
        <v>87</v>
      </c>
      <c r="C35" s="4" t="s">
        <v>76</v>
      </c>
      <c r="D35" s="4" t="s">
        <v>18</v>
      </c>
      <c r="E35" s="4">
        <v>14.0</v>
      </c>
      <c r="F35" s="4">
        <v>22.6</v>
      </c>
      <c r="G35" s="4">
        <v>7.7</v>
      </c>
      <c r="H35" s="4">
        <v>238.0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1" t="s">
        <v>129</v>
      </c>
      <c r="C1" s="1" t="s">
        <v>109</v>
      </c>
      <c r="D1" s="1" t="s">
        <v>2</v>
      </c>
      <c r="E1" s="1" t="s">
        <v>149</v>
      </c>
      <c r="F1" s="1" t="s">
        <v>131</v>
      </c>
      <c r="G1" s="5" t="s">
        <v>139</v>
      </c>
      <c r="H1" s="1" t="s">
        <v>114</v>
      </c>
    </row>
    <row r="2">
      <c r="A2" s="4" t="s">
        <v>10</v>
      </c>
      <c r="C2" s="4" t="s">
        <v>11</v>
      </c>
      <c r="D2" s="4" t="s">
        <v>12</v>
      </c>
      <c r="E2" s="4">
        <v>21.5</v>
      </c>
      <c r="F2" s="4">
        <v>2.4</v>
      </c>
      <c r="G2" s="4">
        <v>26.0</v>
      </c>
    </row>
    <row r="3">
      <c r="A3" s="4" t="s">
        <v>17</v>
      </c>
      <c r="C3" s="4" t="s">
        <v>11</v>
      </c>
      <c r="D3" s="4" t="s">
        <v>18</v>
      </c>
      <c r="E3" s="4">
        <v>22.3</v>
      </c>
      <c r="F3" s="4">
        <v>2.4</v>
      </c>
      <c r="G3" s="4">
        <v>13.0</v>
      </c>
    </row>
    <row r="4">
      <c r="A4" s="4" t="s">
        <v>19</v>
      </c>
      <c r="C4" s="4" t="s">
        <v>11</v>
      </c>
      <c r="D4" s="4" t="s">
        <v>20</v>
      </c>
      <c r="E4" s="4">
        <v>20.8</v>
      </c>
      <c r="F4" s="4">
        <v>2.3</v>
      </c>
      <c r="G4" s="4">
        <v>35.0</v>
      </c>
    </row>
    <row r="5">
      <c r="A5" s="4" t="s">
        <v>21</v>
      </c>
      <c r="C5" s="4" t="s">
        <v>11</v>
      </c>
      <c r="D5" s="4" t="s">
        <v>18</v>
      </c>
      <c r="E5" s="4">
        <v>20.5</v>
      </c>
      <c r="F5" s="4">
        <v>2.2</v>
      </c>
      <c r="G5" s="4">
        <v>17.0</v>
      </c>
    </row>
    <row r="6">
      <c r="A6" s="4" t="s">
        <v>22</v>
      </c>
      <c r="C6" s="4" t="s">
        <v>23</v>
      </c>
      <c r="D6" s="4" t="s">
        <v>12</v>
      </c>
      <c r="E6" s="4">
        <v>23.84</v>
      </c>
      <c r="F6" s="4">
        <v>2.95</v>
      </c>
      <c r="G6" s="4">
        <v>126.0</v>
      </c>
    </row>
    <row r="7">
      <c r="A7" s="4" t="s">
        <v>25</v>
      </c>
      <c r="C7" s="4" t="s">
        <v>23</v>
      </c>
      <c r="D7" s="4" t="s">
        <v>20</v>
      </c>
      <c r="E7" s="4">
        <v>23.51</v>
      </c>
      <c r="F7" s="4">
        <v>2.72</v>
      </c>
      <c r="G7" s="4">
        <v>116.0</v>
      </c>
    </row>
    <row r="8">
      <c r="A8" s="4" t="s">
        <v>26</v>
      </c>
      <c r="C8" s="4" t="s">
        <v>23</v>
      </c>
      <c r="D8" s="4" t="s">
        <v>18</v>
      </c>
      <c r="E8" s="4">
        <v>23.65</v>
      </c>
      <c r="F8" s="4">
        <v>2.81</v>
      </c>
      <c r="G8" s="4">
        <v>118.0</v>
      </c>
    </row>
    <row r="9">
      <c r="A9" s="4" t="s">
        <v>27</v>
      </c>
      <c r="B9" s="4" t="s">
        <v>143</v>
      </c>
      <c r="D9" s="4" t="s">
        <v>28</v>
      </c>
      <c r="E9" s="4">
        <v>21.0</v>
      </c>
      <c r="F9" s="4">
        <v>2.33</v>
      </c>
      <c r="G9" s="4">
        <v>19.0</v>
      </c>
    </row>
    <row r="10">
      <c r="A10" s="4" t="s">
        <v>31</v>
      </c>
      <c r="B10" s="4" t="s">
        <v>143</v>
      </c>
      <c r="D10" s="4" t="s">
        <v>32</v>
      </c>
      <c r="E10" s="4" t="s">
        <v>143</v>
      </c>
      <c r="F10" s="4" t="s">
        <v>143</v>
      </c>
      <c r="G10" s="4" t="s">
        <v>143</v>
      </c>
    </row>
    <row r="11">
      <c r="A11" s="4" t="s">
        <v>34</v>
      </c>
      <c r="B11" s="4" t="s">
        <v>143</v>
      </c>
      <c r="D11" s="4" t="s">
        <v>35</v>
      </c>
      <c r="E11" s="4" t="s">
        <v>143</v>
      </c>
      <c r="F11" s="4" t="s">
        <v>143</v>
      </c>
      <c r="G11" s="4" t="s">
        <v>143</v>
      </c>
    </row>
    <row r="12">
      <c r="A12" s="4" t="s">
        <v>37</v>
      </c>
      <c r="D12" s="4" t="s">
        <v>18</v>
      </c>
      <c r="E12" s="4">
        <v>22.29</v>
      </c>
      <c r="F12" s="4">
        <v>2.69</v>
      </c>
      <c r="G12" s="4">
        <v>7.0</v>
      </c>
    </row>
    <row r="13">
      <c r="A13" s="4" t="s">
        <v>38</v>
      </c>
      <c r="D13" s="4" t="s">
        <v>40</v>
      </c>
      <c r="E13" s="4">
        <v>23.4</v>
      </c>
      <c r="F13" s="4">
        <v>2.6</v>
      </c>
      <c r="G13" s="4">
        <v>86.0</v>
      </c>
    </row>
    <row r="14">
      <c r="A14" s="4" t="s">
        <v>42</v>
      </c>
      <c r="D14" s="4" t="s">
        <v>43</v>
      </c>
      <c r="E14" s="4">
        <v>23.5</v>
      </c>
      <c r="F14" s="4">
        <v>2.8</v>
      </c>
      <c r="G14" s="4">
        <v>126.0</v>
      </c>
    </row>
    <row r="15">
      <c r="A15" s="4" t="s">
        <v>44</v>
      </c>
      <c r="D15" s="4" t="s">
        <v>45</v>
      </c>
      <c r="E15" s="4">
        <v>23.1</v>
      </c>
      <c r="F15" s="4">
        <v>2.7</v>
      </c>
      <c r="G15" s="4">
        <v>84.0</v>
      </c>
    </row>
    <row r="16">
      <c r="A16" s="4" t="s">
        <v>46</v>
      </c>
      <c r="D16" s="4" t="s">
        <v>18</v>
      </c>
      <c r="E16" s="4">
        <v>23.1</v>
      </c>
      <c r="F16" s="4">
        <v>2.6</v>
      </c>
      <c r="G16" s="4">
        <v>126.0</v>
      </c>
    </row>
    <row r="17">
      <c r="A17" s="4" t="s">
        <v>47</v>
      </c>
      <c r="B17" s="4" t="s">
        <v>145</v>
      </c>
      <c r="C17" s="4" t="s">
        <v>48</v>
      </c>
      <c r="D17" s="4" t="s">
        <v>49</v>
      </c>
      <c r="E17" s="4">
        <v>18.4</v>
      </c>
      <c r="F17" s="4">
        <v>2.0</v>
      </c>
      <c r="G17" s="4">
        <v>123.0</v>
      </c>
    </row>
    <row r="18">
      <c r="A18" s="4" t="s">
        <v>51</v>
      </c>
      <c r="C18" s="4" t="s">
        <v>48</v>
      </c>
      <c r="D18" s="4" t="s">
        <v>18</v>
      </c>
      <c r="E18" s="4">
        <v>18.2</v>
      </c>
      <c r="F18" s="4">
        <v>2.1</v>
      </c>
      <c r="G18" s="4">
        <v>115.0</v>
      </c>
    </row>
    <row r="19">
      <c r="A19" s="4" t="s">
        <v>52</v>
      </c>
      <c r="B19" s="4" t="s">
        <v>146</v>
      </c>
      <c r="D19" s="4" t="s">
        <v>49</v>
      </c>
      <c r="E19" s="4">
        <v>20.9</v>
      </c>
      <c r="F19" s="4">
        <v>0.29</v>
      </c>
      <c r="G19" s="4">
        <v>122.0</v>
      </c>
      <c r="H19" s="4" t="s">
        <v>150</v>
      </c>
    </row>
    <row r="20">
      <c r="A20" s="4" t="s">
        <v>55</v>
      </c>
      <c r="D20" s="4" t="s">
        <v>18</v>
      </c>
      <c r="E20" s="4">
        <v>20.7</v>
      </c>
      <c r="F20" s="4">
        <v>0.3</v>
      </c>
      <c r="G20" s="4">
        <v>107.0</v>
      </c>
      <c r="H20" s="4" t="s">
        <v>150</v>
      </c>
    </row>
    <row r="21">
      <c r="A21" s="4" t="s">
        <v>59</v>
      </c>
      <c r="C21" s="4" t="s">
        <v>60</v>
      </c>
      <c r="D21" s="4" t="s">
        <v>61</v>
      </c>
      <c r="E21" s="4">
        <v>21.7</v>
      </c>
      <c r="F21" s="4">
        <v>2.8</v>
      </c>
      <c r="G21" s="4">
        <v>122.0</v>
      </c>
    </row>
    <row r="22">
      <c r="A22" s="4" t="s">
        <v>63</v>
      </c>
      <c r="C22" s="4" t="s">
        <v>60</v>
      </c>
      <c r="D22" s="4" t="s">
        <v>64</v>
      </c>
      <c r="E22" s="4">
        <v>21.5</v>
      </c>
      <c r="F22" s="4">
        <v>2.6</v>
      </c>
      <c r="G22" s="4">
        <v>62.0</v>
      </c>
    </row>
    <row r="23">
      <c r="A23" s="4" t="s">
        <v>65</v>
      </c>
      <c r="C23" s="4" t="s">
        <v>60</v>
      </c>
      <c r="D23" s="4" t="s">
        <v>66</v>
      </c>
      <c r="E23" s="4">
        <v>21.9</v>
      </c>
      <c r="F23" s="4">
        <v>2.7</v>
      </c>
      <c r="G23" s="4">
        <v>165.0</v>
      </c>
    </row>
    <row r="24">
      <c r="A24" s="4" t="s">
        <v>65</v>
      </c>
      <c r="C24" s="4" t="s">
        <v>60</v>
      </c>
      <c r="D24" s="4" t="s">
        <v>67</v>
      </c>
      <c r="E24" s="4">
        <v>21.6</v>
      </c>
      <c r="F24" s="4">
        <v>2.5</v>
      </c>
      <c r="G24" s="4">
        <v>84.0</v>
      </c>
    </row>
    <row r="25">
      <c r="A25" s="4" t="s">
        <v>68</v>
      </c>
      <c r="B25" s="4" t="s">
        <v>105</v>
      </c>
      <c r="C25" s="4" t="s">
        <v>69</v>
      </c>
      <c r="D25" s="4" t="s">
        <v>61</v>
      </c>
      <c r="E25" s="4">
        <v>25.4</v>
      </c>
      <c r="F25" s="4">
        <v>2.5</v>
      </c>
      <c r="G25" s="4">
        <v>58.0</v>
      </c>
    </row>
    <row r="26">
      <c r="A26" s="4" t="s">
        <v>68</v>
      </c>
      <c r="B26" s="4" t="s">
        <v>107</v>
      </c>
      <c r="C26" s="4" t="s">
        <v>69</v>
      </c>
      <c r="D26" s="4" t="s">
        <v>61</v>
      </c>
      <c r="E26" s="4">
        <v>25.4</v>
      </c>
      <c r="F26" s="4">
        <v>2.22</v>
      </c>
      <c r="G26" s="4">
        <v>58.0</v>
      </c>
    </row>
    <row r="27">
      <c r="A27" s="4" t="s">
        <v>71</v>
      </c>
      <c r="C27" s="4" t="s">
        <v>69</v>
      </c>
      <c r="D27" s="4" t="s">
        <v>72</v>
      </c>
      <c r="E27" s="4">
        <v>25.1</v>
      </c>
      <c r="F27" s="4">
        <v>2.3</v>
      </c>
      <c r="G27" s="4">
        <v>106.0</v>
      </c>
    </row>
    <row r="28">
      <c r="A28" s="4" t="s">
        <v>73</v>
      </c>
      <c r="C28" s="4" t="s">
        <v>69</v>
      </c>
      <c r="D28" s="4" t="s">
        <v>66</v>
      </c>
      <c r="E28" s="4">
        <v>25.4</v>
      </c>
      <c r="F28" s="4">
        <v>2.2</v>
      </c>
      <c r="G28" s="4">
        <v>214.0</v>
      </c>
    </row>
    <row r="29">
      <c r="A29" s="4" t="s">
        <v>74</v>
      </c>
      <c r="C29" s="4" t="s">
        <v>69</v>
      </c>
      <c r="D29" s="4" t="s">
        <v>18</v>
      </c>
      <c r="E29" s="4">
        <v>25.4</v>
      </c>
      <c r="F29" s="4">
        <v>2.3</v>
      </c>
      <c r="G29" s="4">
        <v>214.0</v>
      </c>
    </row>
    <row r="30">
      <c r="A30" s="4" t="s">
        <v>75</v>
      </c>
      <c r="C30" s="4" t="s">
        <v>76</v>
      </c>
      <c r="D30" s="4" t="s">
        <v>77</v>
      </c>
      <c r="E30" s="4">
        <v>25.7</v>
      </c>
      <c r="F30" s="4">
        <v>2.5</v>
      </c>
      <c r="G30" s="4">
        <v>52.0</v>
      </c>
    </row>
    <row r="31">
      <c r="A31" s="4" t="s">
        <v>79</v>
      </c>
      <c r="C31" s="4" t="s">
        <v>76</v>
      </c>
      <c r="D31" s="4" t="s">
        <v>80</v>
      </c>
      <c r="E31" s="4">
        <v>25.3</v>
      </c>
      <c r="F31" s="4">
        <v>2.6</v>
      </c>
      <c r="G31" s="4">
        <v>48.0</v>
      </c>
    </row>
    <row r="32">
      <c r="A32" s="4" t="s">
        <v>81</v>
      </c>
      <c r="C32" s="4" t="s">
        <v>76</v>
      </c>
      <c r="D32" s="4" t="s">
        <v>82</v>
      </c>
      <c r="E32" s="4">
        <v>25.6</v>
      </c>
      <c r="F32" s="4">
        <v>2.3</v>
      </c>
      <c r="G32" s="4">
        <v>89.0</v>
      </c>
    </row>
    <row r="33">
      <c r="A33" s="4" t="s">
        <v>83</v>
      </c>
      <c r="C33" s="4" t="s">
        <v>76</v>
      </c>
      <c r="D33" s="4" t="s">
        <v>84</v>
      </c>
      <c r="E33" s="4">
        <v>25.7</v>
      </c>
      <c r="F33" s="4">
        <v>2.4</v>
      </c>
      <c r="G33" s="4">
        <v>246.0</v>
      </c>
    </row>
    <row r="34">
      <c r="A34" s="4" t="s">
        <v>85</v>
      </c>
      <c r="C34" s="4" t="s">
        <v>76</v>
      </c>
      <c r="D34" s="4" t="s">
        <v>86</v>
      </c>
      <c r="E34" s="4">
        <v>25.6</v>
      </c>
      <c r="F34" s="4">
        <v>2.4</v>
      </c>
      <c r="G34" s="4">
        <v>152.0</v>
      </c>
    </row>
    <row r="35">
      <c r="A35" s="4" t="s">
        <v>87</v>
      </c>
      <c r="C35" s="4" t="s">
        <v>76</v>
      </c>
      <c r="D35" s="4" t="s">
        <v>18</v>
      </c>
      <c r="E35" s="4">
        <v>26.0</v>
      </c>
      <c r="F35" s="4">
        <v>2.3</v>
      </c>
      <c r="G35" s="4">
        <v>238.0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5" t="s">
        <v>151</v>
      </c>
      <c r="C1" s="5" t="s">
        <v>152</v>
      </c>
      <c r="D1" s="6" t="s">
        <v>153</v>
      </c>
      <c r="E1" s="1" t="s">
        <v>154</v>
      </c>
      <c r="F1" s="1" t="s">
        <v>131</v>
      </c>
      <c r="G1" s="1" t="s">
        <v>155</v>
      </c>
      <c r="H1" s="2" t="s">
        <v>156</v>
      </c>
      <c r="I1" s="2" t="s">
        <v>157</v>
      </c>
      <c r="J1" s="2" t="s">
        <v>158</v>
      </c>
      <c r="K1" s="1" t="s">
        <v>139</v>
      </c>
      <c r="L1" s="1" t="s">
        <v>114</v>
      </c>
      <c r="M1" s="3"/>
      <c r="N1" s="3"/>
      <c r="O1" s="3"/>
      <c r="P1" s="3"/>
      <c r="Q1" s="3"/>
      <c r="R1" s="3"/>
      <c r="S1" s="3"/>
      <c r="T1" s="3"/>
      <c r="U1" s="3"/>
      <c r="V1" s="3"/>
      <c r="W1" s="3"/>
      <c r="X1" s="3"/>
      <c r="Y1" s="3"/>
      <c r="Z1" s="3"/>
      <c r="AA1" s="3"/>
      <c r="AB1" s="3"/>
      <c r="AC1" s="3"/>
      <c r="AD1" s="3"/>
      <c r="AE1" s="3"/>
      <c r="AF1" s="3"/>
      <c r="AG1" s="3"/>
      <c r="AH1" s="3"/>
      <c r="AI1" s="3"/>
      <c r="AJ1" s="3"/>
      <c r="AK1" s="3"/>
    </row>
    <row r="2">
      <c r="A2" s="4" t="s">
        <v>10</v>
      </c>
      <c r="C2" s="4" t="s">
        <v>12</v>
      </c>
      <c r="D2" s="4" t="s">
        <v>159</v>
      </c>
      <c r="E2" s="4">
        <v>1.43</v>
      </c>
      <c r="F2" s="4">
        <v>0.17</v>
      </c>
      <c r="G2" s="4">
        <v>69.0</v>
      </c>
      <c r="H2" s="4"/>
      <c r="I2" s="4" t="s">
        <v>160</v>
      </c>
      <c r="J2" s="4"/>
      <c r="K2" s="4">
        <v>26.0</v>
      </c>
      <c r="L2" s="4" t="s">
        <v>161</v>
      </c>
    </row>
    <row r="3">
      <c r="A3" s="4" t="s">
        <v>17</v>
      </c>
      <c r="C3" s="4" t="s">
        <v>18</v>
      </c>
      <c r="D3" s="4" t="s">
        <v>159</v>
      </c>
      <c r="E3" s="4">
        <v>1.46</v>
      </c>
      <c r="F3" s="4">
        <v>0.16</v>
      </c>
      <c r="G3" s="4">
        <v>69.0</v>
      </c>
      <c r="H3" s="4"/>
      <c r="I3" s="4" t="s">
        <v>160</v>
      </c>
      <c r="J3" s="4"/>
      <c r="K3" s="4">
        <v>13.0</v>
      </c>
      <c r="L3" s="4" t="s">
        <v>161</v>
      </c>
    </row>
    <row r="4">
      <c r="A4" s="4" t="s">
        <v>19</v>
      </c>
      <c r="C4" s="4" t="s">
        <v>20</v>
      </c>
      <c r="D4" s="4" t="s">
        <v>159</v>
      </c>
      <c r="E4" s="4">
        <v>1.47</v>
      </c>
      <c r="F4" s="4">
        <v>0.18</v>
      </c>
      <c r="G4" s="4">
        <v>69.0</v>
      </c>
      <c r="H4" s="4"/>
      <c r="I4" s="4" t="s">
        <v>160</v>
      </c>
      <c r="J4" s="4"/>
      <c r="K4" s="4">
        <v>35.0</v>
      </c>
      <c r="L4" s="4" t="s">
        <v>161</v>
      </c>
    </row>
    <row r="5">
      <c r="A5" s="4" t="s">
        <v>21</v>
      </c>
      <c r="C5" s="4" t="s">
        <v>18</v>
      </c>
      <c r="D5" s="4" t="s">
        <v>159</v>
      </c>
      <c r="E5" s="4">
        <v>1.49</v>
      </c>
      <c r="F5" s="4">
        <v>0.18</v>
      </c>
      <c r="G5" s="4">
        <v>69.0</v>
      </c>
      <c r="H5" s="4"/>
      <c r="I5" s="4" t="s">
        <v>160</v>
      </c>
      <c r="J5" s="4"/>
      <c r="K5" s="4">
        <v>17.0</v>
      </c>
      <c r="L5" s="4" t="s">
        <v>161</v>
      </c>
    </row>
    <row r="6">
      <c r="A6" s="4" t="s">
        <v>27</v>
      </c>
      <c r="B6" s="4" t="s">
        <v>143</v>
      </c>
      <c r="C6" s="4" t="s">
        <v>28</v>
      </c>
      <c r="D6" s="4" t="s">
        <v>159</v>
      </c>
      <c r="E6" s="4">
        <v>2.06</v>
      </c>
      <c r="F6" s="4">
        <v>0.39</v>
      </c>
      <c r="G6" s="4">
        <v>78.0</v>
      </c>
      <c r="H6" s="4">
        <v>-0.09</v>
      </c>
      <c r="I6" s="4" t="s">
        <v>160</v>
      </c>
      <c r="J6" s="4" t="s">
        <v>162</v>
      </c>
      <c r="K6" s="4">
        <v>19.0</v>
      </c>
      <c r="L6" s="4" t="s">
        <v>163</v>
      </c>
    </row>
    <row r="7">
      <c r="A7" s="4" t="s">
        <v>31</v>
      </c>
      <c r="B7" s="4" t="s">
        <v>143</v>
      </c>
      <c r="C7" s="4" t="s">
        <v>32</v>
      </c>
      <c r="D7" s="4" t="s">
        <v>159</v>
      </c>
      <c r="E7" s="4" t="s">
        <v>143</v>
      </c>
      <c r="F7" s="4" t="s">
        <v>143</v>
      </c>
      <c r="G7" s="4">
        <v>78.0</v>
      </c>
      <c r="H7" s="4" t="s">
        <v>143</v>
      </c>
      <c r="I7" s="4" t="s">
        <v>160</v>
      </c>
      <c r="J7" s="4" t="s">
        <v>143</v>
      </c>
      <c r="K7" s="4" t="s">
        <v>143</v>
      </c>
      <c r="L7" s="4" t="s">
        <v>163</v>
      </c>
    </row>
    <row r="8">
      <c r="A8" s="4" t="s">
        <v>34</v>
      </c>
      <c r="B8" s="4" t="s">
        <v>143</v>
      </c>
      <c r="C8" s="4" t="s">
        <v>35</v>
      </c>
      <c r="D8" s="4" t="s">
        <v>159</v>
      </c>
      <c r="E8" s="4" t="s">
        <v>143</v>
      </c>
      <c r="F8" s="4" t="s">
        <v>143</v>
      </c>
      <c r="G8" s="4">
        <v>78.0</v>
      </c>
      <c r="H8" s="4" t="s">
        <v>143</v>
      </c>
      <c r="I8" s="4" t="s">
        <v>160</v>
      </c>
      <c r="J8" s="4" t="s">
        <v>143</v>
      </c>
      <c r="K8" s="4" t="s">
        <v>143</v>
      </c>
      <c r="L8" s="4" t="s">
        <v>163</v>
      </c>
    </row>
    <row r="9">
      <c r="A9" s="4" t="s">
        <v>37</v>
      </c>
      <c r="C9" s="4" t="s">
        <v>18</v>
      </c>
      <c r="D9" s="4" t="s">
        <v>159</v>
      </c>
      <c r="E9" s="4">
        <v>1.89</v>
      </c>
      <c r="F9" s="4">
        <v>0.32</v>
      </c>
      <c r="G9" s="4">
        <v>78.0</v>
      </c>
      <c r="H9" s="4">
        <v>0.15</v>
      </c>
      <c r="I9" s="4" t="s">
        <v>160</v>
      </c>
      <c r="J9" s="4" t="s">
        <v>164</v>
      </c>
      <c r="K9" s="4">
        <v>7.0</v>
      </c>
      <c r="L9" s="4" t="s">
        <v>163</v>
      </c>
    </row>
    <row r="10">
      <c r="A10" s="4" t="s">
        <v>68</v>
      </c>
      <c r="B10" s="4" t="s">
        <v>165</v>
      </c>
      <c r="C10" s="4" t="s">
        <v>61</v>
      </c>
      <c r="D10" s="4" t="s">
        <v>159</v>
      </c>
      <c r="E10" s="4">
        <v>1.417</v>
      </c>
      <c r="F10" s="4">
        <v>0.245</v>
      </c>
      <c r="G10" s="4" t="s">
        <v>166</v>
      </c>
      <c r="H10" s="4" t="s">
        <v>166</v>
      </c>
      <c r="I10" s="4" t="s">
        <v>166</v>
      </c>
      <c r="J10" s="4" t="s">
        <v>166</v>
      </c>
      <c r="K10" s="4">
        <v>57.0</v>
      </c>
    </row>
    <row r="11">
      <c r="A11" s="4" t="s">
        <v>71</v>
      </c>
      <c r="C11" s="4" t="s">
        <v>72</v>
      </c>
      <c r="D11" s="4" t="s">
        <v>159</v>
      </c>
      <c r="E11" s="4">
        <v>1.409</v>
      </c>
      <c r="F11" s="4">
        <v>0.17</v>
      </c>
      <c r="G11" s="4" t="s">
        <v>166</v>
      </c>
      <c r="H11" s="4" t="s">
        <v>166</v>
      </c>
      <c r="I11" s="4" t="s">
        <v>166</v>
      </c>
      <c r="J11" s="4" t="s">
        <v>166</v>
      </c>
      <c r="K11" s="4">
        <v>50.0</v>
      </c>
    </row>
    <row r="12">
      <c r="A12" s="4" t="s">
        <v>73</v>
      </c>
      <c r="C12" s="4" t="s">
        <v>66</v>
      </c>
      <c r="D12" s="4" t="s">
        <v>159</v>
      </c>
      <c r="E12" s="4">
        <v>1.454</v>
      </c>
      <c r="F12" s="4">
        <v>0.182</v>
      </c>
      <c r="G12" s="4" t="s">
        <v>166</v>
      </c>
      <c r="H12" s="4" t="s">
        <v>166</v>
      </c>
      <c r="I12" s="4" t="s">
        <v>166</v>
      </c>
      <c r="J12" s="4" t="s">
        <v>166</v>
      </c>
      <c r="K12" s="4">
        <v>105.0</v>
      </c>
    </row>
    <row r="13">
      <c r="A13" s="4" t="s">
        <v>74</v>
      </c>
      <c r="C13" s="4" t="s">
        <v>18</v>
      </c>
      <c r="D13" s="4" t="s">
        <v>159</v>
      </c>
      <c r="E13" s="4">
        <v>1.414</v>
      </c>
      <c r="F13" s="4">
        <v>0.182</v>
      </c>
      <c r="G13" s="4" t="s">
        <v>166</v>
      </c>
      <c r="H13" s="4" t="s">
        <v>166</v>
      </c>
      <c r="I13" s="4" t="s">
        <v>166</v>
      </c>
      <c r="J13" s="4" t="s">
        <v>166</v>
      </c>
      <c r="K13" s="4">
        <v>105.0</v>
      </c>
    </row>
    <row r="14">
      <c r="A14" s="4" t="s">
        <v>68</v>
      </c>
      <c r="C14" s="4" t="s">
        <v>61</v>
      </c>
      <c r="D14" s="4" t="s">
        <v>167</v>
      </c>
      <c r="E14" s="4">
        <v>1.631</v>
      </c>
      <c r="G14" s="4">
        <v>52.0</v>
      </c>
      <c r="H14" s="4">
        <v>0.096</v>
      </c>
      <c r="I14" s="4" t="s">
        <v>168</v>
      </c>
      <c r="J14" s="4">
        <v>0.0265</v>
      </c>
      <c r="L14" s="4" t="s">
        <v>169</v>
      </c>
    </row>
    <row r="15">
      <c r="A15" s="4" t="s">
        <v>71</v>
      </c>
      <c r="C15" s="4" t="s">
        <v>72</v>
      </c>
      <c r="D15" s="4" t="s">
        <v>167</v>
      </c>
      <c r="E15" s="4">
        <v>1.572</v>
      </c>
      <c r="G15" s="4">
        <v>52.0</v>
      </c>
      <c r="H15" s="4">
        <v>0.136</v>
      </c>
      <c r="I15" s="4" t="s">
        <v>168</v>
      </c>
      <c r="J15" s="4">
        <v>0.0265</v>
      </c>
      <c r="K15" s="4"/>
      <c r="L15" s="4" t="s">
        <v>169</v>
      </c>
    </row>
    <row r="16">
      <c r="A16" s="4" t="s">
        <v>73</v>
      </c>
      <c r="C16" s="4" t="s">
        <v>66</v>
      </c>
      <c r="D16" s="4" t="s">
        <v>167</v>
      </c>
      <c r="E16" s="4">
        <v>1.603</v>
      </c>
      <c r="G16" s="4">
        <v>52.0</v>
      </c>
      <c r="H16" s="4">
        <v>0.117</v>
      </c>
      <c r="I16" s="4" t="s">
        <v>168</v>
      </c>
      <c r="J16" s="4">
        <v>0.0181</v>
      </c>
      <c r="K16" s="4"/>
      <c r="L16" s="4" t="s">
        <v>169</v>
      </c>
    </row>
    <row r="17">
      <c r="A17" s="4" t="s">
        <v>74</v>
      </c>
      <c r="C17" s="4" t="s">
        <v>18</v>
      </c>
      <c r="D17" s="4" t="s">
        <v>167</v>
      </c>
      <c r="E17" s="4">
        <v>1.589</v>
      </c>
      <c r="G17" s="4">
        <v>52.0</v>
      </c>
      <c r="H17" s="4">
        <v>0.168</v>
      </c>
      <c r="I17" s="4" t="s">
        <v>168</v>
      </c>
      <c r="J17" s="4">
        <v>0.0192</v>
      </c>
      <c r="K17" s="4"/>
      <c r="L17" s="4" t="s">
        <v>169</v>
      </c>
    </row>
    <row r="18">
      <c r="A18" s="4" t="s">
        <v>75</v>
      </c>
      <c r="C18" s="4" t="s">
        <v>77</v>
      </c>
      <c r="D18" s="4" t="s">
        <v>159</v>
      </c>
      <c r="E18" s="4">
        <v>1.41</v>
      </c>
      <c r="F18" s="4">
        <v>0.11</v>
      </c>
      <c r="G18" s="4">
        <v>72.0</v>
      </c>
      <c r="H18" s="4">
        <v>-0.094</v>
      </c>
      <c r="I18" s="4" t="s">
        <v>170</v>
      </c>
      <c r="K18" s="4">
        <v>28.0</v>
      </c>
    </row>
    <row r="19">
      <c r="A19" s="4" t="s">
        <v>79</v>
      </c>
      <c r="C19" s="4" t="s">
        <v>80</v>
      </c>
      <c r="D19" s="4" t="s">
        <v>159</v>
      </c>
      <c r="E19" s="4">
        <v>1.42</v>
      </c>
      <c r="F19" s="4">
        <v>0.17</v>
      </c>
      <c r="G19" s="4">
        <v>72.0</v>
      </c>
      <c r="H19" s="4">
        <v>-0.131</v>
      </c>
      <c r="I19" s="4" t="s">
        <v>170</v>
      </c>
      <c r="K19" s="4">
        <v>28.0</v>
      </c>
    </row>
    <row r="20">
      <c r="A20" s="4" t="s">
        <v>81</v>
      </c>
      <c r="C20" s="4" t="s">
        <v>82</v>
      </c>
      <c r="D20" s="4" t="s">
        <v>159</v>
      </c>
      <c r="E20" s="4">
        <v>1.4</v>
      </c>
      <c r="F20" s="4">
        <v>0.12</v>
      </c>
      <c r="G20" s="4">
        <v>72.0</v>
      </c>
      <c r="H20" s="4">
        <v>-0.197</v>
      </c>
      <c r="I20" s="4" t="s">
        <v>170</v>
      </c>
      <c r="K20" s="4">
        <v>27.0</v>
      </c>
    </row>
    <row r="21">
      <c r="A21" s="4" t="s">
        <v>83</v>
      </c>
      <c r="C21" s="4" t="s">
        <v>84</v>
      </c>
      <c r="D21" s="4" t="s">
        <v>159</v>
      </c>
      <c r="E21" s="4">
        <v>1.42</v>
      </c>
      <c r="F21" s="4">
        <v>0.18</v>
      </c>
      <c r="G21" s="4">
        <v>72.0</v>
      </c>
      <c r="H21" s="4">
        <v>-0.225</v>
      </c>
      <c r="I21" s="4" t="s">
        <v>170</v>
      </c>
      <c r="K21" s="4">
        <v>89.0</v>
      </c>
    </row>
    <row r="22">
      <c r="A22" s="4" t="s">
        <v>85</v>
      </c>
      <c r="C22" s="4" t="s">
        <v>86</v>
      </c>
      <c r="D22" s="4" t="s">
        <v>159</v>
      </c>
      <c r="E22" s="4">
        <v>1.37</v>
      </c>
      <c r="F22" s="4">
        <v>0.16</v>
      </c>
      <c r="G22" s="4">
        <v>72.0</v>
      </c>
      <c r="H22" s="4">
        <v>-0.306</v>
      </c>
      <c r="I22" s="4" t="s">
        <v>170</v>
      </c>
      <c r="K22" s="4">
        <v>44.0</v>
      </c>
    </row>
    <row r="23">
      <c r="A23" s="4" t="s">
        <v>87</v>
      </c>
      <c r="C23" s="4" t="s">
        <v>18</v>
      </c>
      <c r="D23" s="4" t="s">
        <v>159</v>
      </c>
      <c r="E23" s="4">
        <v>1.4</v>
      </c>
      <c r="F23" s="4">
        <v>0.16</v>
      </c>
      <c r="G23" s="4">
        <v>72.0</v>
      </c>
      <c r="H23" s="4">
        <v>0.004</v>
      </c>
      <c r="I23" s="4" t="s">
        <v>170</v>
      </c>
      <c r="K23" s="4">
        <v>99.0</v>
      </c>
    </row>
    <row r="24">
      <c r="A24" s="4" t="s">
        <v>22</v>
      </c>
      <c r="C24" s="4" t="s">
        <v>12</v>
      </c>
      <c r="D24" s="4" t="s">
        <v>171</v>
      </c>
      <c r="E24" s="4">
        <v>1.22</v>
      </c>
      <c r="F24" s="4">
        <v>0.115</v>
      </c>
      <c r="G24" s="4">
        <v>104.0</v>
      </c>
      <c r="H24" s="4">
        <v>0.1</v>
      </c>
      <c r="I24" s="4" t="s">
        <v>170</v>
      </c>
      <c r="J24" s="4">
        <v>0.011</v>
      </c>
      <c r="K24" s="4">
        <v>126.0</v>
      </c>
      <c r="L24" s="4" t="s">
        <v>172</v>
      </c>
    </row>
    <row r="25">
      <c r="A25" s="4" t="s">
        <v>25</v>
      </c>
      <c r="C25" s="4" t="s">
        <v>20</v>
      </c>
      <c r="D25" s="4" t="s">
        <v>171</v>
      </c>
      <c r="E25" s="4">
        <v>1.24</v>
      </c>
      <c r="F25" s="4">
        <v>0.112</v>
      </c>
      <c r="G25" s="4">
        <v>104.0</v>
      </c>
      <c r="H25" s="4">
        <v>0.1</v>
      </c>
      <c r="I25" s="4" t="s">
        <v>170</v>
      </c>
      <c r="J25" s="4">
        <v>0.012</v>
      </c>
      <c r="K25" s="4">
        <v>116.0</v>
      </c>
      <c r="L25" s="4" t="s">
        <v>173</v>
      </c>
    </row>
    <row r="26">
      <c r="A26" s="4" t="s">
        <v>26</v>
      </c>
      <c r="C26" s="4" t="s">
        <v>18</v>
      </c>
      <c r="D26" s="4" t="s">
        <v>171</v>
      </c>
      <c r="E26" s="4">
        <v>1.22</v>
      </c>
      <c r="F26" s="4">
        <v>0.177</v>
      </c>
      <c r="G26" s="4">
        <v>104.0</v>
      </c>
      <c r="H26" s="4">
        <v>0.08</v>
      </c>
      <c r="I26" s="4" t="s">
        <v>170</v>
      </c>
      <c r="J26" s="4">
        <v>0.012</v>
      </c>
      <c r="K26" s="4">
        <v>118.0</v>
      </c>
      <c r="L26" s="4" t="s">
        <v>174</v>
      </c>
    </row>
    <row r="27">
      <c r="A27" s="4" t="s">
        <v>38</v>
      </c>
      <c r="C27" s="4" t="s">
        <v>40</v>
      </c>
      <c r="D27" s="4" t="s">
        <v>171</v>
      </c>
      <c r="E27" s="4">
        <v>1.31</v>
      </c>
      <c r="F27" s="4">
        <v>0.23</v>
      </c>
      <c r="G27" s="4">
        <v>49.0</v>
      </c>
      <c r="H27" s="4">
        <v>1.36</v>
      </c>
      <c r="I27" s="4" t="s">
        <v>160</v>
      </c>
      <c r="J27" s="4">
        <v>0.27</v>
      </c>
      <c r="K27" s="4">
        <v>81.0</v>
      </c>
      <c r="L27" s="4" t="s">
        <v>175</v>
      </c>
    </row>
    <row r="28">
      <c r="A28" s="4" t="s">
        <v>38</v>
      </c>
      <c r="C28" s="4" t="s">
        <v>40</v>
      </c>
      <c r="D28" s="4" t="s">
        <v>171</v>
      </c>
      <c r="E28" s="4">
        <v>1.31</v>
      </c>
      <c r="F28" s="4">
        <v>0.23</v>
      </c>
      <c r="G28" s="4">
        <v>73.0</v>
      </c>
      <c r="H28" s="4">
        <v>1.36</v>
      </c>
      <c r="I28" s="4" t="s">
        <v>160</v>
      </c>
      <c r="J28" s="4">
        <v>0.26</v>
      </c>
      <c r="K28" s="4">
        <v>81.0</v>
      </c>
      <c r="L28" s="4" t="s">
        <v>175</v>
      </c>
    </row>
    <row r="29">
      <c r="A29" s="4" t="s">
        <v>42</v>
      </c>
      <c r="C29" s="4" t="s">
        <v>43</v>
      </c>
      <c r="D29" s="4" t="s">
        <v>171</v>
      </c>
      <c r="E29" s="4">
        <v>1.34</v>
      </c>
      <c r="F29" s="4">
        <v>0.25</v>
      </c>
      <c r="G29" s="4">
        <v>49.0</v>
      </c>
      <c r="H29" s="4">
        <v>1.38</v>
      </c>
      <c r="I29" s="4" t="s">
        <v>160</v>
      </c>
      <c r="J29" s="4">
        <v>0.28</v>
      </c>
      <c r="K29" s="4">
        <v>107.0</v>
      </c>
      <c r="L29" s="4" t="s">
        <v>175</v>
      </c>
    </row>
    <row r="30">
      <c r="A30" s="4" t="s">
        <v>42</v>
      </c>
      <c r="C30" s="4" t="s">
        <v>43</v>
      </c>
      <c r="D30" s="4" t="s">
        <v>171</v>
      </c>
      <c r="E30" s="4">
        <v>1.34</v>
      </c>
      <c r="F30" s="4">
        <v>0.25</v>
      </c>
      <c r="G30" s="4">
        <v>73.0</v>
      </c>
      <c r="H30" s="4">
        <v>1.39</v>
      </c>
      <c r="I30" s="4" t="s">
        <v>160</v>
      </c>
      <c r="J30" s="4">
        <v>0.28</v>
      </c>
      <c r="K30" s="4">
        <v>107.0</v>
      </c>
      <c r="L30" s="4" t="s">
        <v>175</v>
      </c>
    </row>
    <row r="31">
      <c r="A31" s="4" t="s">
        <v>44</v>
      </c>
      <c r="C31" s="4" t="s">
        <v>45</v>
      </c>
      <c r="D31" s="4" t="s">
        <v>171</v>
      </c>
      <c r="E31" s="4">
        <v>1.35</v>
      </c>
      <c r="F31" s="4">
        <v>0.27</v>
      </c>
      <c r="G31" s="4">
        <v>49.0</v>
      </c>
      <c r="H31" s="4">
        <v>1.4</v>
      </c>
      <c r="I31" s="4" t="s">
        <v>160</v>
      </c>
      <c r="J31" s="4">
        <v>0.31</v>
      </c>
      <c r="K31" s="4">
        <v>77.0</v>
      </c>
      <c r="L31" s="4" t="s">
        <v>175</v>
      </c>
    </row>
    <row r="32">
      <c r="A32" s="4" t="s">
        <v>44</v>
      </c>
      <c r="C32" s="4" t="s">
        <v>45</v>
      </c>
      <c r="D32" s="4" t="s">
        <v>171</v>
      </c>
      <c r="E32" s="4">
        <v>1.35</v>
      </c>
      <c r="F32" s="4">
        <v>0.27</v>
      </c>
      <c r="G32" s="4">
        <v>73.0</v>
      </c>
      <c r="H32" s="4">
        <v>1.42</v>
      </c>
      <c r="I32" s="4" t="s">
        <v>160</v>
      </c>
      <c r="J32" s="4">
        <v>0.35</v>
      </c>
      <c r="K32" s="4">
        <v>77.0</v>
      </c>
      <c r="L32" s="4" t="s">
        <v>175</v>
      </c>
    </row>
    <row r="33">
      <c r="A33" s="4" t="s">
        <v>46</v>
      </c>
      <c r="C33" s="4" t="s">
        <v>18</v>
      </c>
      <c r="D33" s="4" t="s">
        <v>171</v>
      </c>
      <c r="E33" s="4">
        <v>1.34</v>
      </c>
      <c r="F33" s="4">
        <v>0.26</v>
      </c>
      <c r="G33" s="4">
        <v>49.0</v>
      </c>
      <c r="H33" s="4">
        <v>1.37</v>
      </c>
      <c r="I33" s="4" t="s">
        <v>160</v>
      </c>
      <c r="J33" s="4">
        <v>0.28</v>
      </c>
      <c r="K33" s="4">
        <v>110.0</v>
      </c>
      <c r="L33" s="4" t="s">
        <v>175</v>
      </c>
    </row>
    <row r="34">
      <c r="A34" s="4" t="s">
        <v>46</v>
      </c>
      <c r="C34" s="4" t="s">
        <v>18</v>
      </c>
      <c r="D34" s="4" t="s">
        <v>171</v>
      </c>
      <c r="E34" s="4">
        <v>1.34</v>
      </c>
      <c r="F34" s="4">
        <v>0.26</v>
      </c>
      <c r="G34" s="4">
        <v>73.0</v>
      </c>
      <c r="H34" s="4">
        <v>1.39</v>
      </c>
      <c r="I34" s="4" t="s">
        <v>160</v>
      </c>
      <c r="J34" s="4">
        <v>0.26</v>
      </c>
      <c r="K34" s="4">
        <v>110.0</v>
      </c>
      <c r="L34" s="4" t="s">
        <v>175</v>
      </c>
    </row>
    <row r="35">
      <c r="A35" s="4" t="s">
        <v>47</v>
      </c>
      <c r="C35" s="4" t="s">
        <v>49</v>
      </c>
      <c r="D35" s="4" t="s">
        <v>171</v>
      </c>
      <c r="E35" s="4">
        <v>1.4</v>
      </c>
      <c r="F35" s="4">
        <v>0.3</v>
      </c>
      <c r="G35" s="4">
        <v>52.0</v>
      </c>
      <c r="H35" s="4">
        <v>0.06</v>
      </c>
      <c r="I35" s="4" t="s">
        <v>170</v>
      </c>
      <c r="J35" s="4" t="s">
        <v>176</v>
      </c>
      <c r="K35" s="4">
        <v>95.0</v>
      </c>
      <c r="L35" s="4" t="s">
        <v>177</v>
      </c>
    </row>
    <row r="36">
      <c r="A36" s="4" t="s">
        <v>51</v>
      </c>
      <c r="C36" s="4" t="s">
        <v>18</v>
      </c>
      <c r="D36" s="4" t="s">
        <v>171</v>
      </c>
      <c r="E36" s="4">
        <v>1.4</v>
      </c>
      <c r="F36" s="4">
        <v>0.3</v>
      </c>
      <c r="G36" s="4">
        <v>52.0</v>
      </c>
      <c r="H36" s="4">
        <v>0.06</v>
      </c>
      <c r="I36" s="4" t="s">
        <v>170</v>
      </c>
      <c r="J36" s="4" t="s">
        <v>176</v>
      </c>
      <c r="K36" s="4">
        <v>93.0</v>
      </c>
      <c r="L36" s="4" t="s">
        <v>177</v>
      </c>
    </row>
    <row r="37">
      <c r="A37" s="4" t="s">
        <v>59</v>
      </c>
      <c r="C37" s="4" t="s">
        <v>61</v>
      </c>
    </row>
    <row r="38">
      <c r="A38" s="4" t="s">
        <v>63</v>
      </c>
      <c r="C38" s="4" t="s">
        <v>64</v>
      </c>
    </row>
    <row r="39">
      <c r="A39" s="4" t="s">
        <v>65</v>
      </c>
      <c r="C39" s="4" t="s">
        <v>66</v>
      </c>
    </row>
    <row r="40">
      <c r="A40" s="4" t="s">
        <v>65</v>
      </c>
      <c r="C40" s="4" t="s">
        <v>67</v>
      </c>
    </row>
    <row r="41">
      <c r="A41" s="4" t="s">
        <v>52</v>
      </c>
      <c r="C41" s="4" t="s">
        <v>53</v>
      </c>
    </row>
    <row r="42">
      <c r="A42" s="4" t="s">
        <v>55</v>
      </c>
      <c r="C42" s="4" t="s">
        <v>28</v>
      </c>
    </row>
    <row r="43">
      <c r="A43" s="4" t="s">
        <v>56</v>
      </c>
      <c r="C43" s="4" t="s">
        <v>32</v>
      </c>
    </row>
    <row r="44">
      <c r="A44" s="4" t="s">
        <v>57</v>
      </c>
      <c r="C44" s="4" t="s">
        <v>35</v>
      </c>
    </row>
    <row r="45">
      <c r="A45" s="4" t="s">
        <v>58</v>
      </c>
      <c r="C45" s="4" t="s">
        <v>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1" t="s">
        <v>129</v>
      </c>
      <c r="C1" s="1" t="s">
        <v>1</v>
      </c>
      <c r="D1" s="1" t="s">
        <v>2</v>
      </c>
      <c r="E1" s="1" t="s">
        <v>148</v>
      </c>
      <c r="F1" s="1" t="s">
        <v>155</v>
      </c>
      <c r="G1" s="1" t="s">
        <v>156</v>
      </c>
      <c r="H1" s="1" t="s">
        <v>157</v>
      </c>
      <c r="I1" s="1" t="s">
        <v>158</v>
      </c>
      <c r="J1" s="5" t="s">
        <v>139</v>
      </c>
      <c r="K1" s="1" t="s">
        <v>114</v>
      </c>
    </row>
    <row r="2">
      <c r="A2" s="4" t="s">
        <v>10</v>
      </c>
      <c r="B2" s="4" t="s">
        <v>178</v>
      </c>
      <c r="C2" s="4" t="s">
        <v>11</v>
      </c>
      <c r="D2" s="4" t="s">
        <v>12</v>
      </c>
      <c r="E2" s="4">
        <v>12.0</v>
      </c>
      <c r="F2" s="4">
        <v>69.0</v>
      </c>
      <c r="H2" s="4" t="s">
        <v>170</v>
      </c>
      <c r="J2" s="4">
        <v>19.0</v>
      </c>
      <c r="K2" s="4" t="s">
        <v>179</v>
      </c>
    </row>
    <row r="3">
      <c r="A3" s="4" t="s">
        <v>17</v>
      </c>
      <c r="B3" s="4" t="s">
        <v>178</v>
      </c>
      <c r="C3" s="4" t="s">
        <v>11</v>
      </c>
      <c r="D3" s="4" t="s">
        <v>18</v>
      </c>
      <c r="E3" s="4">
        <v>12.0</v>
      </c>
      <c r="F3" s="4">
        <v>69.0</v>
      </c>
      <c r="H3" s="4" t="s">
        <v>170</v>
      </c>
      <c r="J3" s="4">
        <v>12.0</v>
      </c>
      <c r="K3" s="4" t="s">
        <v>179</v>
      </c>
    </row>
    <row r="4">
      <c r="A4" s="4" t="s">
        <v>19</v>
      </c>
      <c r="B4" s="4" t="s">
        <v>178</v>
      </c>
      <c r="C4" s="4" t="s">
        <v>11</v>
      </c>
      <c r="D4" s="4" t="s">
        <v>20</v>
      </c>
      <c r="E4" s="4">
        <v>12.0</v>
      </c>
      <c r="F4" s="4">
        <v>69.0</v>
      </c>
      <c r="H4" s="4" t="s">
        <v>170</v>
      </c>
      <c r="J4" s="4">
        <v>21.0</v>
      </c>
      <c r="K4" s="4" t="s">
        <v>179</v>
      </c>
    </row>
    <row r="5">
      <c r="A5" s="4" t="s">
        <v>21</v>
      </c>
      <c r="B5" s="4" t="s">
        <v>178</v>
      </c>
      <c r="C5" s="4" t="s">
        <v>11</v>
      </c>
      <c r="D5" s="4" t="s">
        <v>18</v>
      </c>
      <c r="E5" s="4">
        <v>12.0</v>
      </c>
      <c r="F5" s="4">
        <v>69.0</v>
      </c>
      <c r="H5" s="4" t="s">
        <v>170</v>
      </c>
      <c r="J5" s="4">
        <v>10.0</v>
      </c>
      <c r="K5" s="4" t="s">
        <v>179</v>
      </c>
    </row>
    <row r="6">
      <c r="A6" s="4" t="s">
        <v>22</v>
      </c>
      <c r="C6" s="4" t="s">
        <v>23</v>
      </c>
      <c r="D6" s="4" t="s">
        <v>12</v>
      </c>
      <c r="E6" s="4">
        <v>13.0</v>
      </c>
      <c r="F6" s="4">
        <v>104.0</v>
      </c>
      <c r="G6" s="4">
        <v>7.85</v>
      </c>
      <c r="H6" s="4" t="s">
        <v>170</v>
      </c>
      <c r="I6" s="4" t="s">
        <v>180</v>
      </c>
      <c r="J6" s="4">
        <v>76.0</v>
      </c>
    </row>
    <row r="7">
      <c r="A7" s="4" t="s">
        <v>25</v>
      </c>
      <c r="C7" s="4" t="s">
        <v>23</v>
      </c>
      <c r="D7" s="4" t="s">
        <v>20</v>
      </c>
      <c r="E7" s="4">
        <v>13.0</v>
      </c>
      <c r="F7" s="4">
        <v>104.0</v>
      </c>
      <c r="G7" s="4">
        <v>6.3</v>
      </c>
      <c r="H7" s="4" t="s">
        <v>170</v>
      </c>
      <c r="I7" s="4" t="s">
        <v>181</v>
      </c>
      <c r="J7" s="4">
        <v>69.0</v>
      </c>
    </row>
    <row r="8">
      <c r="A8" s="4" t="s">
        <v>26</v>
      </c>
      <c r="C8" s="4" t="s">
        <v>23</v>
      </c>
      <c r="D8" s="4" t="s">
        <v>18</v>
      </c>
      <c r="E8" s="4">
        <v>13.0</v>
      </c>
      <c r="F8" s="4">
        <v>104.0</v>
      </c>
      <c r="G8" s="4">
        <v>7.13</v>
      </c>
      <c r="H8" s="4" t="s">
        <v>170</v>
      </c>
      <c r="I8" s="4" t="s">
        <v>182</v>
      </c>
      <c r="J8" s="4">
        <v>71.0</v>
      </c>
    </row>
    <row r="9">
      <c r="A9" s="4" t="s">
        <v>27</v>
      </c>
      <c r="B9" s="4" t="s">
        <v>143</v>
      </c>
      <c r="D9" s="4" t="s">
        <v>28</v>
      </c>
      <c r="E9" s="4">
        <v>12.0</v>
      </c>
      <c r="F9" s="4">
        <v>78.0</v>
      </c>
      <c r="H9" s="4" t="s">
        <v>160</v>
      </c>
      <c r="J9" s="4">
        <v>15.0</v>
      </c>
    </row>
    <row r="10">
      <c r="A10" s="4" t="s">
        <v>31</v>
      </c>
      <c r="B10" s="4" t="s">
        <v>143</v>
      </c>
      <c r="C10" s="4" t="s">
        <v>143</v>
      </c>
      <c r="D10" s="4" t="s">
        <v>32</v>
      </c>
      <c r="E10" s="4">
        <v>12.0</v>
      </c>
      <c r="F10" s="4">
        <v>78.0</v>
      </c>
      <c r="G10" s="4" t="s">
        <v>143</v>
      </c>
      <c r="H10" s="4" t="s">
        <v>143</v>
      </c>
      <c r="I10" s="4" t="s">
        <v>143</v>
      </c>
      <c r="J10" s="4" t="s">
        <v>143</v>
      </c>
    </row>
    <row r="11">
      <c r="A11" s="4" t="s">
        <v>34</v>
      </c>
      <c r="B11" s="4" t="s">
        <v>143</v>
      </c>
      <c r="C11" s="4" t="s">
        <v>143</v>
      </c>
      <c r="D11" s="4" t="s">
        <v>35</v>
      </c>
      <c r="E11" s="4">
        <v>12.0</v>
      </c>
      <c r="F11" s="4">
        <v>78.0</v>
      </c>
      <c r="G11" s="4" t="s">
        <v>143</v>
      </c>
      <c r="H11" s="4" t="s">
        <v>143</v>
      </c>
      <c r="I11" s="4" t="s">
        <v>143</v>
      </c>
      <c r="J11" s="4" t="s">
        <v>143</v>
      </c>
    </row>
    <row r="12">
      <c r="A12" s="4" t="s">
        <v>37</v>
      </c>
      <c r="D12" s="4" t="s">
        <v>18</v>
      </c>
      <c r="E12" s="4">
        <v>12.0</v>
      </c>
      <c r="F12" s="4">
        <v>78.0</v>
      </c>
      <c r="H12" s="4" t="s">
        <v>160</v>
      </c>
      <c r="J12" s="4">
        <v>5.0</v>
      </c>
    </row>
    <row r="13">
      <c r="A13" s="4" t="s">
        <v>38</v>
      </c>
      <c r="B13" s="4"/>
      <c r="C13" s="4"/>
      <c r="D13" s="4" t="s">
        <v>40</v>
      </c>
      <c r="E13" s="4">
        <v>13.0</v>
      </c>
      <c r="F13" s="4">
        <v>73.0</v>
      </c>
      <c r="G13" s="4">
        <v>8.68</v>
      </c>
      <c r="H13" s="4" t="s">
        <v>170</v>
      </c>
      <c r="I13" s="4">
        <v>0.937</v>
      </c>
      <c r="J13" s="4">
        <v>78.0</v>
      </c>
      <c r="K13" s="4" t="s">
        <v>183</v>
      </c>
    </row>
    <row r="14">
      <c r="A14" s="4" t="s">
        <v>42</v>
      </c>
      <c r="B14" s="4"/>
      <c r="C14" s="4"/>
      <c r="D14" s="4" t="s">
        <v>43</v>
      </c>
      <c r="E14" s="4">
        <v>13.0</v>
      </c>
      <c r="F14" s="4">
        <v>73.0</v>
      </c>
      <c r="G14" s="4">
        <v>6.0</v>
      </c>
      <c r="H14" s="4" t="s">
        <v>170</v>
      </c>
      <c r="I14" s="4">
        <v>0.769</v>
      </c>
      <c r="J14" s="4">
        <v>113.0</v>
      </c>
      <c r="K14" s="4" t="s">
        <v>184</v>
      </c>
    </row>
    <row r="15">
      <c r="A15" s="4" t="s">
        <v>44</v>
      </c>
      <c r="B15" s="4"/>
      <c r="C15" s="4"/>
      <c r="D15" s="4" t="s">
        <v>45</v>
      </c>
      <c r="E15" s="4">
        <v>13.0</v>
      </c>
      <c r="F15" s="4">
        <v>73.0</v>
      </c>
      <c r="G15" s="4">
        <v>7.58</v>
      </c>
      <c r="H15" s="4" t="s">
        <v>170</v>
      </c>
      <c r="I15" s="4">
        <v>0.932</v>
      </c>
      <c r="J15" s="4">
        <v>73.0</v>
      </c>
      <c r="K15" s="4" t="s">
        <v>185</v>
      </c>
    </row>
    <row r="16">
      <c r="A16" s="4" t="s">
        <v>46</v>
      </c>
      <c r="B16" s="4"/>
      <c r="C16" s="4"/>
      <c r="D16" s="4" t="s">
        <v>18</v>
      </c>
      <c r="E16" s="4">
        <v>13.0</v>
      </c>
      <c r="F16" s="4">
        <v>73.0</v>
      </c>
      <c r="G16" s="4">
        <v>6.56</v>
      </c>
      <c r="H16" s="4" t="s">
        <v>170</v>
      </c>
      <c r="I16" s="4">
        <v>0.777</v>
      </c>
      <c r="J16" s="4">
        <v>106.0</v>
      </c>
      <c r="K16" s="4" t="s">
        <v>186</v>
      </c>
    </row>
    <row r="17">
      <c r="A17" s="4" t="s">
        <v>47</v>
      </c>
      <c r="B17" s="4" t="s">
        <v>145</v>
      </c>
      <c r="C17" s="4" t="s">
        <v>48</v>
      </c>
      <c r="D17" s="4" t="s">
        <v>49</v>
      </c>
      <c r="E17" s="4">
        <v>11.0</v>
      </c>
      <c r="F17" s="4">
        <v>49.0</v>
      </c>
      <c r="G17" s="4">
        <v>3.96</v>
      </c>
      <c r="H17" s="4" t="s">
        <v>170</v>
      </c>
      <c r="I17" s="4"/>
      <c r="J17" s="4">
        <v>102.0</v>
      </c>
      <c r="K17" s="4" t="s">
        <v>187</v>
      </c>
    </row>
    <row r="18">
      <c r="A18" s="4" t="s">
        <v>51</v>
      </c>
      <c r="C18" s="4" t="s">
        <v>48</v>
      </c>
      <c r="D18" s="4" t="s">
        <v>18</v>
      </c>
      <c r="E18" s="4">
        <v>11.0</v>
      </c>
      <c r="F18" s="4">
        <v>49.0</v>
      </c>
      <c r="G18" s="4">
        <v>6.85</v>
      </c>
      <c r="H18" s="4" t="s">
        <v>170</v>
      </c>
      <c r="I18" s="4"/>
      <c r="J18" s="4">
        <v>96.0</v>
      </c>
      <c r="K18" s="4" t="s">
        <v>187</v>
      </c>
    </row>
    <row r="19">
      <c r="A19" s="4" t="s">
        <v>47</v>
      </c>
      <c r="B19" s="4" t="s">
        <v>188</v>
      </c>
      <c r="C19" s="4" t="s">
        <v>48</v>
      </c>
      <c r="D19" s="4" t="s">
        <v>49</v>
      </c>
      <c r="E19" s="4">
        <v>11.0</v>
      </c>
      <c r="F19" s="4">
        <v>61.0</v>
      </c>
      <c r="G19" s="4">
        <v>5.71</v>
      </c>
      <c r="H19" s="4" t="s">
        <v>170</v>
      </c>
      <c r="I19" s="4"/>
      <c r="J19" s="4">
        <v>38.0</v>
      </c>
    </row>
    <row r="20">
      <c r="A20" s="4" t="s">
        <v>51</v>
      </c>
      <c r="B20" s="4" t="s">
        <v>188</v>
      </c>
      <c r="C20" s="4" t="s">
        <v>48</v>
      </c>
      <c r="D20" s="4" t="s">
        <v>18</v>
      </c>
      <c r="E20" s="4">
        <v>11.0</v>
      </c>
      <c r="F20" s="4">
        <v>61.0</v>
      </c>
      <c r="G20" s="4">
        <v>8.47</v>
      </c>
      <c r="H20" s="4" t="s">
        <v>170</v>
      </c>
      <c r="I20" s="4"/>
      <c r="J20" s="4">
        <v>30.0</v>
      </c>
    </row>
    <row r="21">
      <c r="A21" s="4" t="s">
        <v>52</v>
      </c>
      <c r="D21" s="4" t="s">
        <v>53</v>
      </c>
      <c r="E21" s="4">
        <v>12.0</v>
      </c>
      <c r="F21" s="4">
        <v>78.0</v>
      </c>
      <c r="G21" s="4">
        <v>-10.1</v>
      </c>
      <c r="H21" s="4" t="s">
        <v>189</v>
      </c>
      <c r="I21" s="4">
        <v>1.5</v>
      </c>
      <c r="J21" s="4">
        <v>24.0</v>
      </c>
    </row>
    <row r="22">
      <c r="A22" s="4" t="s">
        <v>190</v>
      </c>
      <c r="D22" s="4" t="s">
        <v>191</v>
      </c>
      <c r="E22" s="4">
        <v>12.0</v>
      </c>
      <c r="F22" s="4">
        <v>78.0</v>
      </c>
      <c r="G22" s="4">
        <v>-15.7</v>
      </c>
      <c r="H22" s="4" t="s">
        <v>189</v>
      </c>
      <c r="I22" s="4">
        <v>2.3</v>
      </c>
      <c r="J22" s="4">
        <v>15.0</v>
      </c>
    </row>
    <row r="23">
      <c r="A23" s="4" t="s">
        <v>55</v>
      </c>
      <c r="D23" s="4" t="s">
        <v>28</v>
      </c>
      <c r="E23" s="4">
        <v>12.0</v>
      </c>
      <c r="F23" s="4">
        <v>78.0</v>
      </c>
      <c r="G23" s="4">
        <v>-7.0</v>
      </c>
      <c r="H23" s="4" t="s">
        <v>189</v>
      </c>
      <c r="I23" s="4">
        <v>2.3</v>
      </c>
      <c r="J23" s="4">
        <v>18.0</v>
      </c>
    </row>
    <row r="24">
      <c r="A24" s="4" t="s">
        <v>192</v>
      </c>
      <c r="D24" s="4" t="s">
        <v>193</v>
      </c>
      <c r="E24" s="4">
        <v>12.0</v>
      </c>
      <c r="F24" s="4">
        <v>78.0</v>
      </c>
      <c r="G24" s="4">
        <v>-10.2</v>
      </c>
      <c r="H24" s="4" t="s">
        <v>189</v>
      </c>
      <c r="I24" s="4">
        <v>2.4</v>
      </c>
      <c r="J24" s="4">
        <v>19.0</v>
      </c>
    </row>
    <row r="25">
      <c r="A25" s="4" t="s">
        <v>56</v>
      </c>
      <c r="D25" s="4" t="s">
        <v>32</v>
      </c>
      <c r="E25" s="4">
        <v>12.0</v>
      </c>
      <c r="F25" s="4">
        <v>78.0</v>
      </c>
      <c r="G25" s="4">
        <v>-6.0</v>
      </c>
      <c r="H25" s="4" t="s">
        <v>189</v>
      </c>
      <c r="I25" s="4">
        <v>1.8</v>
      </c>
      <c r="J25" s="4">
        <v>26.0</v>
      </c>
    </row>
    <row r="26">
      <c r="A26" s="4" t="s">
        <v>194</v>
      </c>
      <c r="D26" s="4" t="s">
        <v>195</v>
      </c>
      <c r="E26" s="4">
        <v>12.0</v>
      </c>
      <c r="F26" s="4">
        <v>78.0</v>
      </c>
      <c r="G26" s="4">
        <v>-6.0</v>
      </c>
      <c r="H26" s="4" t="s">
        <v>189</v>
      </c>
      <c r="I26" s="4">
        <v>1.7</v>
      </c>
      <c r="J26" s="4">
        <v>22.0</v>
      </c>
    </row>
    <row r="27">
      <c r="A27" s="4" t="s">
        <v>57</v>
      </c>
      <c r="D27" s="4" t="s">
        <v>35</v>
      </c>
      <c r="E27" s="4">
        <v>12.0</v>
      </c>
      <c r="F27" s="4">
        <v>78.0</v>
      </c>
      <c r="G27" s="4">
        <v>-2.6</v>
      </c>
      <c r="H27" s="4" t="s">
        <v>189</v>
      </c>
      <c r="I27" s="4">
        <v>1.5</v>
      </c>
      <c r="J27" s="4">
        <v>19.0</v>
      </c>
    </row>
    <row r="28">
      <c r="A28" s="4" t="s">
        <v>196</v>
      </c>
      <c r="D28" s="4" t="s">
        <v>197</v>
      </c>
      <c r="E28" s="4">
        <v>12.0</v>
      </c>
      <c r="F28" s="4">
        <v>78.0</v>
      </c>
      <c r="G28" s="4">
        <v>-5.6</v>
      </c>
      <c r="H28" s="4" t="s">
        <v>189</v>
      </c>
      <c r="I28" s="4">
        <v>1.9</v>
      </c>
      <c r="J28" s="4">
        <v>22.0</v>
      </c>
    </row>
    <row r="29">
      <c r="A29" s="4" t="s">
        <v>59</v>
      </c>
      <c r="C29" s="4" t="s">
        <v>60</v>
      </c>
      <c r="D29" s="4" t="s">
        <v>61</v>
      </c>
      <c r="E29" s="4">
        <v>12.0</v>
      </c>
      <c r="F29" s="4">
        <v>73.0</v>
      </c>
      <c r="G29" s="4">
        <v>7.81</v>
      </c>
      <c r="H29" s="4" t="s">
        <v>170</v>
      </c>
      <c r="I29" s="4">
        <v>0.81</v>
      </c>
      <c r="J29" s="4">
        <v>88.0</v>
      </c>
    </row>
    <row r="30">
      <c r="A30" s="4" t="s">
        <v>63</v>
      </c>
      <c r="C30" s="4" t="s">
        <v>60</v>
      </c>
      <c r="D30" s="4" t="s">
        <v>64</v>
      </c>
      <c r="E30" s="4">
        <v>12.0</v>
      </c>
      <c r="F30" s="4">
        <v>73.0</v>
      </c>
      <c r="G30" s="4">
        <v>7.85</v>
      </c>
      <c r="H30" s="4" t="s">
        <v>170</v>
      </c>
      <c r="I30" s="4">
        <v>1.13</v>
      </c>
      <c r="J30" s="4">
        <v>45.0</v>
      </c>
    </row>
    <row r="31">
      <c r="A31" s="4" t="s">
        <v>65</v>
      </c>
      <c r="C31" s="4" t="s">
        <v>60</v>
      </c>
      <c r="D31" s="4" t="s">
        <v>66</v>
      </c>
      <c r="E31" s="4">
        <v>12.0</v>
      </c>
      <c r="F31" s="4">
        <v>73.0</v>
      </c>
      <c r="G31" s="4">
        <v>8.79</v>
      </c>
      <c r="H31" s="4" t="s">
        <v>170</v>
      </c>
      <c r="I31" s="4">
        <v>0.79</v>
      </c>
      <c r="J31" s="4">
        <v>122.0</v>
      </c>
    </row>
    <row r="32">
      <c r="A32" s="4" t="s">
        <v>65</v>
      </c>
      <c r="C32" s="4" t="s">
        <v>60</v>
      </c>
      <c r="D32" s="4" t="s">
        <v>67</v>
      </c>
      <c r="E32" s="4">
        <v>12.0</v>
      </c>
      <c r="F32" s="4">
        <v>73.0</v>
      </c>
      <c r="G32" s="4">
        <v>10.56</v>
      </c>
      <c r="H32" s="4" t="s">
        <v>170</v>
      </c>
      <c r="I32" s="4">
        <v>1.09</v>
      </c>
      <c r="J32" s="4">
        <v>64.0</v>
      </c>
    </row>
    <row r="33">
      <c r="A33" s="4" t="s">
        <v>68</v>
      </c>
      <c r="B33" s="4" t="s">
        <v>198</v>
      </c>
      <c r="C33" s="4" t="s">
        <v>69</v>
      </c>
      <c r="D33" s="4" t="s">
        <v>61</v>
      </c>
      <c r="E33" s="4">
        <v>13.0</v>
      </c>
      <c r="F33" s="4">
        <v>24.0</v>
      </c>
      <c r="G33" s="4">
        <v>1.6</v>
      </c>
      <c r="H33" s="4" t="s">
        <v>199</v>
      </c>
      <c r="I33" s="4">
        <v>0.51</v>
      </c>
      <c r="J33" s="4">
        <v>109.0</v>
      </c>
    </row>
    <row r="34">
      <c r="A34" s="4" t="s">
        <v>68</v>
      </c>
      <c r="B34" s="4" t="s">
        <v>198</v>
      </c>
      <c r="C34" s="4" t="s">
        <v>69</v>
      </c>
      <c r="D34" s="4" t="s">
        <v>61</v>
      </c>
      <c r="E34" s="4">
        <v>13.0</v>
      </c>
      <c r="F34" s="4">
        <v>52.0</v>
      </c>
      <c r="G34" s="4">
        <v>3.28</v>
      </c>
      <c r="H34" s="4" t="s">
        <v>199</v>
      </c>
      <c r="I34" s="4">
        <v>0.65</v>
      </c>
      <c r="J34" s="4">
        <v>98.0</v>
      </c>
    </row>
    <row r="35">
      <c r="A35" s="4" t="s">
        <v>68</v>
      </c>
      <c r="B35" s="4" t="s">
        <v>198</v>
      </c>
      <c r="C35" s="4" t="s">
        <v>69</v>
      </c>
      <c r="D35" s="4" t="s">
        <v>61</v>
      </c>
      <c r="E35" s="4">
        <v>13.0</v>
      </c>
      <c r="F35" s="4">
        <v>78.0</v>
      </c>
      <c r="G35" s="4">
        <v>7.54</v>
      </c>
      <c r="H35" s="4" t="s">
        <v>199</v>
      </c>
      <c r="I35" s="4">
        <v>0.804</v>
      </c>
      <c r="J35" s="4">
        <v>96.0</v>
      </c>
    </row>
    <row r="36">
      <c r="A36" s="4" t="s">
        <v>71</v>
      </c>
      <c r="C36" s="4" t="s">
        <v>69</v>
      </c>
      <c r="D36" s="4" t="s">
        <v>72</v>
      </c>
      <c r="E36" s="4">
        <v>13.0</v>
      </c>
      <c r="F36" s="4">
        <v>24.0</v>
      </c>
      <c r="G36" s="4">
        <v>0.83</v>
      </c>
      <c r="H36" s="4" t="s">
        <v>199</v>
      </c>
      <c r="I36" s="4">
        <v>0.521</v>
      </c>
      <c r="J36" s="4">
        <v>102.0</v>
      </c>
    </row>
    <row r="37">
      <c r="A37" s="4" t="s">
        <v>71</v>
      </c>
      <c r="C37" s="4" t="s">
        <v>69</v>
      </c>
      <c r="D37" s="4" t="s">
        <v>72</v>
      </c>
      <c r="E37" s="4">
        <v>13.0</v>
      </c>
      <c r="F37" s="4">
        <v>52.0</v>
      </c>
      <c r="G37" s="4">
        <v>3.84</v>
      </c>
      <c r="H37" s="4" t="s">
        <v>199</v>
      </c>
      <c r="I37" s="4">
        <v>0.662</v>
      </c>
      <c r="J37" s="4">
        <v>95.0</v>
      </c>
    </row>
    <row r="38">
      <c r="A38" s="4" t="s">
        <v>71</v>
      </c>
      <c r="C38" s="4" t="s">
        <v>69</v>
      </c>
      <c r="D38" s="4" t="s">
        <v>72</v>
      </c>
      <c r="E38" s="4">
        <v>13.0</v>
      </c>
      <c r="F38" s="4">
        <v>78.0</v>
      </c>
      <c r="G38" s="4">
        <v>7.58</v>
      </c>
      <c r="H38" s="4" t="s">
        <v>199</v>
      </c>
      <c r="I38" s="4">
        <v>0.826</v>
      </c>
      <c r="J38" s="4">
        <v>90.0</v>
      </c>
    </row>
    <row r="39">
      <c r="A39" s="4" t="s">
        <v>73</v>
      </c>
      <c r="C39" s="4" t="s">
        <v>69</v>
      </c>
      <c r="D39" s="4" t="s">
        <v>66</v>
      </c>
      <c r="E39" s="4">
        <v>13.0</v>
      </c>
      <c r="F39" s="4">
        <v>24.0</v>
      </c>
      <c r="G39" s="4">
        <v>1.16</v>
      </c>
      <c r="H39" s="4" t="s">
        <v>199</v>
      </c>
      <c r="I39" s="4">
        <v>0.406</v>
      </c>
      <c r="J39" s="4">
        <v>207.0</v>
      </c>
    </row>
    <row r="40">
      <c r="A40" s="4" t="s">
        <v>73</v>
      </c>
      <c r="C40" s="4" t="s">
        <v>69</v>
      </c>
      <c r="D40" s="4" t="s">
        <v>66</v>
      </c>
      <c r="E40" s="4">
        <v>13.0</v>
      </c>
      <c r="F40" s="4">
        <v>52.0</v>
      </c>
      <c r="G40" s="4">
        <v>3.21</v>
      </c>
      <c r="H40" s="4" t="s">
        <v>199</v>
      </c>
      <c r="I40" s="4">
        <v>0.508</v>
      </c>
      <c r="J40" s="4">
        <v>179.0</v>
      </c>
    </row>
    <row r="41">
      <c r="A41" s="4" t="s">
        <v>73</v>
      </c>
      <c r="C41" s="4" t="s">
        <v>69</v>
      </c>
      <c r="D41" s="4" t="s">
        <v>66</v>
      </c>
      <c r="E41" s="4">
        <v>13.0</v>
      </c>
      <c r="F41" s="4">
        <v>78.0</v>
      </c>
      <c r="G41" s="4">
        <v>7.5</v>
      </c>
      <c r="H41" s="4" t="s">
        <v>199</v>
      </c>
      <c r="I41" s="4">
        <v>0.619</v>
      </c>
      <c r="J41" s="4">
        <v>173.0</v>
      </c>
    </row>
    <row r="42">
      <c r="A42" s="4" t="s">
        <v>74</v>
      </c>
      <c r="C42" s="4" t="s">
        <v>69</v>
      </c>
      <c r="D42" s="4" t="s">
        <v>18</v>
      </c>
      <c r="E42" s="4">
        <v>13.0</v>
      </c>
      <c r="F42" s="4">
        <v>24.0</v>
      </c>
      <c r="G42" s="4">
        <v>0.77</v>
      </c>
      <c r="H42" s="4" t="s">
        <v>199</v>
      </c>
      <c r="I42" s="4">
        <v>0.412</v>
      </c>
      <c r="J42" s="4">
        <v>204.0</v>
      </c>
    </row>
    <row r="43">
      <c r="A43" s="4" t="s">
        <v>74</v>
      </c>
      <c r="C43" s="4" t="s">
        <v>69</v>
      </c>
      <c r="D43" s="4" t="s">
        <v>18</v>
      </c>
      <c r="E43" s="4">
        <v>13.0</v>
      </c>
      <c r="F43" s="4">
        <v>52.0</v>
      </c>
      <c r="G43" s="4">
        <v>2.23</v>
      </c>
      <c r="H43" s="4" t="s">
        <v>199</v>
      </c>
      <c r="I43" s="4">
        <v>0.514</v>
      </c>
      <c r="J43" s="4">
        <v>174.0</v>
      </c>
    </row>
    <row r="44">
      <c r="A44" s="4" t="s">
        <v>74</v>
      </c>
      <c r="C44" s="4" t="s">
        <v>69</v>
      </c>
      <c r="D44" s="4" t="s">
        <v>18</v>
      </c>
      <c r="E44" s="4">
        <v>13.0</v>
      </c>
      <c r="F44" s="4">
        <v>78.0</v>
      </c>
      <c r="G44" s="4">
        <v>5.83</v>
      </c>
      <c r="H44" s="4" t="s">
        <v>199</v>
      </c>
      <c r="I44" s="4">
        <v>0.625</v>
      </c>
      <c r="J44" s="4">
        <v>170.0</v>
      </c>
    </row>
    <row r="45">
      <c r="A45" s="4" t="s">
        <v>75</v>
      </c>
      <c r="C45" s="4" t="s">
        <v>76</v>
      </c>
      <c r="D45" s="4" t="s">
        <v>77</v>
      </c>
      <c r="E45" s="4">
        <v>14.0</v>
      </c>
      <c r="F45" s="4">
        <v>79.0</v>
      </c>
      <c r="G45" s="4">
        <v>5.399</v>
      </c>
      <c r="H45" s="4" t="s">
        <v>170</v>
      </c>
      <c r="I45" s="4">
        <v>1.118</v>
      </c>
      <c r="J45" s="4">
        <v>52.0</v>
      </c>
    </row>
    <row r="46">
      <c r="A46" s="4" t="s">
        <v>79</v>
      </c>
      <c r="C46" s="4" t="s">
        <v>76</v>
      </c>
      <c r="D46" s="4" t="s">
        <v>80</v>
      </c>
      <c r="E46" s="4">
        <v>14.0</v>
      </c>
      <c r="F46" s="4">
        <v>79.0</v>
      </c>
      <c r="G46" s="4">
        <v>5.086</v>
      </c>
      <c r="H46" s="4" t="s">
        <v>170</v>
      </c>
      <c r="I46" s="4">
        <v>1.047</v>
      </c>
      <c r="J46" s="4">
        <v>48.0</v>
      </c>
    </row>
    <row r="47">
      <c r="A47" s="4" t="s">
        <v>81</v>
      </c>
      <c r="C47" s="4" t="s">
        <v>76</v>
      </c>
      <c r="D47" s="4" t="s">
        <v>82</v>
      </c>
      <c r="E47" s="4">
        <v>14.0</v>
      </c>
      <c r="F47" s="4">
        <v>79.0</v>
      </c>
      <c r="G47" s="4">
        <v>3.91</v>
      </c>
      <c r="H47" s="4" t="s">
        <v>170</v>
      </c>
      <c r="I47" s="4">
        <v>0.84</v>
      </c>
      <c r="J47" s="4">
        <v>89.0</v>
      </c>
    </row>
    <row r="48">
      <c r="A48" s="4" t="s">
        <v>83</v>
      </c>
      <c r="C48" s="4" t="s">
        <v>76</v>
      </c>
      <c r="D48" s="4" t="s">
        <v>84</v>
      </c>
      <c r="E48" s="4">
        <v>14.0</v>
      </c>
      <c r="F48" s="4">
        <v>79.0</v>
      </c>
      <c r="G48" s="4">
        <v>5.184</v>
      </c>
      <c r="H48" s="4" t="s">
        <v>170</v>
      </c>
      <c r="I48" s="4">
        <v>0.87</v>
      </c>
      <c r="J48" s="4">
        <v>246.0</v>
      </c>
    </row>
    <row r="49">
      <c r="A49" s="4" t="s">
        <v>85</v>
      </c>
      <c r="C49" s="4" t="s">
        <v>76</v>
      </c>
      <c r="D49" s="4" t="s">
        <v>86</v>
      </c>
      <c r="E49" s="4">
        <v>14.0</v>
      </c>
      <c r="F49" s="4">
        <v>79.0</v>
      </c>
      <c r="G49" s="4">
        <v>2.848</v>
      </c>
      <c r="H49" s="4" t="s">
        <v>170</v>
      </c>
      <c r="I49" s="4">
        <v>1.121</v>
      </c>
      <c r="J49" s="4">
        <v>152.0</v>
      </c>
    </row>
    <row r="50">
      <c r="A50" s="4" t="s">
        <v>87</v>
      </c>
      <c r="C50" s="4" t="s">
        <v>76</v>
      </c>
      <c r="D50" s="4" t="s">
        <v>18</v>
      </c>
      <c r="E50" s="4">
        <v>14.0</v>
      </c>
      <c r="F50" s="4">
        <v>79.0</v>
      </c>
      <c r="G50" s="4">
        <v>5.517</v>
      </c>
      <c r="H50" s="4" t="s">
        <v>170</v>
      </c>
      <c r="I50" s="4">
        <v>0.873</v>
      </c>
      <c r="J50" s="4">
        <v>238.0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1" t="s">
        <v>129</v>
      </c>
      <c r="C1" s="1" t="s">
        <v>1</v>
      </c>
      <c r="D1" s="1" t="s">
        <v>2</v>
      </c>
      <c r="E1" s="1" t="s">
        <v>155</v>
      </c>
      <c r="F1" s="1" t="s">
        <v>156</v>
      </c>
      <c r="G1" s="1" t="s">
        <v>157</v>
      </c>
      <c r="H1" s="1" t="s">
        <v>158</v>
      </c>
      <c r="I1" s="5" t="s">
        <v>139</v>
      </c>
      <c r="J1" s="1" t="s">
        <v>114</v>
      </c>
    </row>
    <row r="2">
      <c r="A2" s="4" t="s">
        <v>10</v>
      </c>
      <c r="B2" s="4" t="s">
        <v>178</v>
      </c>
      <c r="C2" s="4" t="s">
        <v>11</v>
      </c>
      <c r="D2" s="4" t="s">
        <v>12</v>
      </c>
      <c r="E2" s="4">
        <v>69.0</v>
      </c>
      <c r="F2" s="4"/>
      <c r="G2" s="4" t="s">
        <v>170</v>
      </c>
      <c r="H2" s="4"/>
      <c r="I2" s="4">
        <v>23.0</v>
      </c>
      <c r="J2" s="4"/>
    </row>
    <row r="3">
      <c r="A3" s="4" t="s">
        <v>17</v>
      </c>
      <c r="B3" s="4" t="s">
        <v>178</v>
      </c>
      <c r="C3" s="4" t="s">
        <v>11</v>
      </c>
      <c r="D3" s="4" t="s">
        <v>18</v>
      </c>
      <c r="E3" s="4">
        <v>69.0</v>
      </c>
      <c r="F3" s="4"/>
      <c r="G3" s="4" t="s">
        <v>170</v>
      </c>
      <c r="H3" s="4"/>
      <c r="I3" s="4">
        <v>10.0</v>
      </c>
      <c r="J3" s="4"/>
    </row>
    <row r="4">
      <c r="A4" s="4" t="s">
        <v>19</v>
      </c>
      <c r="B4" s="4" t="s">
        <v>178</v>
      </c>
      <c r="C4" s="4" t="s">
        <v>11</v>
      </c>
      <c r="D4" s="4" t="s">
        <v>20</v>
      </c>
      <c r="E4" s="4">
        <v>69.0</v>
      </c>
      <c r="F4" s="4"/>
      <c r="G4" s="4" t="s">
        <v>170</v>
      </c>
      <c r="H4" s="4"/>
      <c r="I4" s="4">
        <v>21.0</v>
      </c>
      <c r="J4" s="4"/>
    </row>
    <row r="5">
      <c r="A5" s="4" t="s">
        <v>21</v>
      </c>
      <c r="B5" s="4" t="s">
        <v>178</v>
      </c>
      <c r="C5" s="4" t="s">
        <v>11</v>
      </c>
      <c r="D5" s="4" t="s">
        <v>18</v>
      </c>
      <c r="E5" s="4">
        <v>69.0</v>
      </c>
      <c r="F5" s="4"/>
      <c r="G5" s="4" t="s">
        <v>170</v>
      </c>
      <c r="H5" s="4"/>
      <c r="I5" s="4">
        <v>10.0</v>
      </c>
      <c r="J5" s="4"/>
    </row>
    <row r="6">
      <c r="A6" s="4" t="s">
        <v>22</v>
      </c>
      <c r="C6" s="4" t="s">
        <v>23</v>
      </c>
      <c r="D6" s="4" t="s">
        <v>12</v>
      </c>
      <c r="E6" s="4">
        <v>104.0</v>
      </c>
      <c r="F6" s="4">
        <v>-4.44</v>
      </c>
      <c r="G6" s="4" t="s">
        <v>170</v>
      </c>
      <c r="H6" s="4" t="s">
        <v>200</v>
      </c>
      <c r="I6" s="4">
        <v>76.0</v>
      </c>
    </row>
    <row r="7">
      <c r="A7" s="4" t="s">
        <v>25</v>
      </c>
      <c r="C7" s="4" t="s">
        <v>23</v>
      </c>
      <c r="D7" s="4" t="s">
        <v>20</v>
      </c>
      <c r="E7" s="4">
        <v>104.0</v>
      </c>
      <c r="F7" s="4">
        <v>-3.83</v>
      </c>
      <c r="G7" s="4" t="s">
        <v>170</v>
      </c>
      <c r="H7" s="4" t="s">
        <v>201</v>
      </c>
      <c r="I7" s="4">
        <v>68.0</v>
      </c>
    </row>
    <row r="8">
      <c r="A8" s="4" t="s">
        <v>26</v>
      </c>
      <c r="C8" s="4" t="s">
        <v>23</v>
      </c>
      <c r="D8" s="4" t="s">
        <v>18</v>
      </c>
      <c r="E8" s="4">
        <v>104.0</v>
      </c>
      <c r="F8" s="4">
        <v>-4.29</v>
      </c>
      <c r="G8" s="4" t="s">
        <v>170</v>
      </c>
      <c r="H8" s="4" t="s">
        <v>202</v>
      </c>
      <c r="I8" s="4">
        <v>72.0</v>
      </c>
    </row>
    <row r="9">
      <c r="A9" s="4" t="s">
        <v>27</v>
      </c>
      <c r="B9" s="4" t="s">
        <v>143</v>
      </c>
      <c r="D9" s="4" t="s">
        <v>28</v>
      </c>
      <c r="E9" s="4">
        <v>78.0</v>
      </c>
      <c r="G9" s="4" t="s">
        <v>160</v>
      </c>
      <c r="I9" s="4">
        <v>15.0</v>
      </c>
    </row>
    <row r="10">
      <c r="A10" s="4" t="s">
        <v>31</v>
      </c>
      <c r="B10" s="4" t="s">
        <v>143</v>
      </c>
      <c r="D10" s="4" t="s">
        <v>32</v>
      </c>
      <c r="E10" s="4">
        <v>78.0</v>
      </c>
      <c r="F10" s="4" t="s">
        <v>143</v>
      </c>
      <c r="G10" s="4" t="s">
        <v>143</v>
      </c>
      <c r="H10" s="4" t="s">
        <v>143</v>
      </c>
      <c r="I10" s="4" t="s">
        <v>143</v>
      </c>
    </row>
    <row r="11">
      <c r="A11" s="4" t="s">
        <v>34</v>
      </c>
      <c r="B11" s="4" t="s">
        <v>143</v>
      </c>
      <c r="D11" s="4" t="s">
        <v>35</v>
      </c>
      <c r="E11" s="4">
        <v>78.0</v>
      </c>
      <c r="F11" s="4" t="s">
        <v>143</v>
      </c>
      <c r="G11" s="4" t="s">
        <v>143</v>
      </c>
      <c r="H11" s="4" t="s">
        <v>143</v>
      </c>
      <c r="I11" s="4" t="s">
        <v>143</v>
      </c>
    </row>
    <row r="12">
      <c r="A12" s="4" t="s">
        <v>37</v>
      </c>
      <c r="D12" s="4" t="s">
        <v>18</v>
      </c>
      <c r="E12" s="4">
        <v>78.0</v>
      </c>
      <c r="G12" s="4" t="s">
        <v>160</v>
      </c>
      <c r="I12" s="4">
        <v>5.0</v>
      </c>
    </row>
    <row r="13">
      <c r="A13" s="4" t="s">
        <v>38</v>
      </c>
      <c r="B13" s="4"/>
      <c r="C13" s="4"/>
      <c r="D13" s="4" t="s">
        <v>40</v>
      </c>
      <c r="E13" s="4">
        <v>73.0</v>
      </c>
      <c r="F13" s="4"/>
      <c r="G13" s="4" t="s">
        <v>170</v>
      </c>
      <c r="H13" s="4"/>
      <c r="I13" s="4">
        <v>78.0</v>
      </c>
      <c r="J13" s="4"/>
    </row>
    <row r="14">
      <c r="A14" s="4" t="s">
        <v>42</v>
      </c>
      <c r="B14" s="4"/>
      <c r="C14" s="4"/>
      <c r="D14" s="4" t="s">
        <v>43</v>
      </c>
      <c r="E14" s="4">
        <v>73.0</v>
      </c>
      <c r="F14" s="4"/>
      <c r="G14" s="4" t="s">
        <v>170</v>
      </c>
      <c r="H14" s="4"/>
      <c r="I14" s="4">
        <v>113.0</v>
      </c>
      <c r="J14" s="4"/>
    </row>
    <row r="15">
      <c r="A15" s="4" t="s">
        <v>44</v>
      </c>
      <c r="B15" s="4"/>
      <c r="C15" s="4"/>
      <c r="D15" s="4" t="s">
        <v>45</v>
      </c>
      <c r="E15" s="4">
        <v>73.0</v>
      </c>
      <c r="F15" s="4"/>
      <c r="G15" s="4" t="s">
        <v>170</v>
      </c>
      <c r="H15" s="4"/>
      <c r="I15" s="4">
        <v>73.0</v>
      </c>
      <c r="J15" s="4"/>
    </row>
    <row r="16">
      <c r="A16" s="4" t="s">
        <v>46</v>
      </c>
      <c r="B16" s="4"/>
      <c r="C16" s="4"/>
      <c r="D16" s="4" t="s">
        <v>18</v>
      </c>
      <c r="E16" s="4">
        <v>73.0</v>
      </c>
      <c r="F16" s="4"/>
      <c r="G16" s="4" t="s">
        <v>170</v>
      </c>
      <c r="H16" s="4"/>
      <c r="I16" s="4">
        <v>106.0</v>
      </c>
      <c r="J16" s="4"/>
    </row>
    <row r="17">
      <c r="A17" s="4" t="s">
        <v>47</v>
      </c>
      <c r="B17" s="4" t="s">
        <v>145</v>
      </c>
      <c r="C17" s="4" t="s">
        <v>48</v>
      </c>
      <c r="D17" s="4" t="s">
        <v>49</v>
      </c>
      <c r="E17" s="4">
        <v>49.0</v>
      </c>
      <c r="F17" s="4">
        <v>-2.86</v>
      </c>
      <c r="G17" s="4" t="s">
        <v>199</v>
      </c>
      <c r="H17" s="4" t="s">
        <v>203</v>
      </c>
      <c r="I17" s="4">
        <v>105.0</v>
      </c>
    </row>
    <row r="18">
      <c r="A18" s="4" t="s">
        <v>51</v>
      </c>
      <c r="C18" s="4" t="s">
        <v>48</v>
      </c>
      <c r="D18" s="4" t="s">
        <v>18</v>
      </c>
      <c r="E18" s="4">
        <v>49.0</v>
      </c>
      <c r="F18" s="4">
        <v>-3.12</v>
      </c>
      <c r="G18" s="4" t="s">
        <v>199</v>
      </c>
      <c r="H18" s="4" t="s">
        <v>204</v>
      </c>
      <c r="I18" s="4">
        <v>97.0</v>
      </c>
    </row>
    <row r="19">
      <c r="A19" s="4" t="s">
        <v>47</v>
      </c>
      <c r="B19" s="4" t="s">
        <v>188</v>
      </c>
      <c r="C19" s="4" t="s">
        <v>48</v>
      </c>
      <c r="D19" s="4" t="s">
        <v>49</v>
      </c>
      <c r="E19" s="4">
        <v>61.0</v>
      </c>
      <c r="F19" s="4">
        <v>-3.14</v>
      </c>
      <c r="G19" s="4" t="s">
        <v>199</v>
      </c>
      <c r="H19" s="4" t="s">
        <v>205</v>
      </c>
      <c r="I19" s="4">
        <v>39.0</v>
      </c>
    </row>
    <row r="20">
      <c r="A20" s="4" t="s">
        <v>51</v>
      </c>
      <c r="B20" s="4" t="s">
        <v>188</v>
      </c>
      <c r="C20" s="4" t="s">
        <v>48</v>
      </c>
      <c r="D20" s="4" t="s">
        <v>18</v>
      </c>
      <c r="E20" s="4">
        <v>61.0</v>
      </c>
      <c r="F20" s="4">
        <v>-4.22</v>
      </c>
      <c r="G20" s="4" t="s">
        <v>199</v>
      </c>
      <c r="H20" s="4" t="s">
        <v>206</v>
      </c>
      <c r="I20" s="4">
        <v>29.0</v>
      </c>
    </row>
    <row r="21">
      <c r="A21" s="4" t="s">
        <v>52</v>
      </c>
      <c r="D21" s="4" t="s">
        <v>53</v>
      </c>
      <c r="E21" s="4">
        <v>78.0</v>
      </c>
      <c r="G21" s="4" t="s">
        <v>160</v>
      </c>
    </row>
    <row r="22">
      <c r="A22" s="4" t="s">
        <v>190</v>
      </c>
      <c r="D22" s="4" t="s">
        <v>191</v>
      </c>
      <c r="E22" s="4">
        <v>78.0</v>
      </c>
      <c r="G22" s="4" t="s">
        <v>160</v>
      </c>
    </row>
    <row r="23">
      <c r="A23" s="4" t="s">
        <v>55</v>
      </c>
      <c r="D23" s="4" t="s">
        <v>28</v>
      </c>
      <c r="E23" s="4">
        <v>78.0</v>
      </c>
      <c r="G23" s="4" t="s">
        <v>160</v>
      </c>
    </row>
    <row r="24">
      <c r="A24" s="4" t="s">
        <v>192</v>
      </c>
      <c r="D24" s="4" t="s">
        <v>193</v>
      </c>
      <c r="E24" s="4">
        <v>78.0</v>
      </c>
      <c r="G24" s="4" t="s">
        <v>160</v>
      </c>
    </row>
    <row r="25">
      <c r="A25" s="4" t="s">
        <v>56</v>
      </c>
      <c r="D25" s="4" t="s">
        <v>32</v>
      </c>
      <c r="E25" s="4">
        <v>78.0</v>
      </c>
      <c r="G25" s="4" t="s">
        <v>160</v>
      </c>
    </row>
    <row r="26">
      <c r="A26" s="4" t="s">
        <v>194</v>
      </c>
      <c r="D26" s="4" t="s">
        <v>195</v>
      </c>
      <c r="E26" s="4">
        <v>78.0</v>
      </c>
      <c r="G26" s="4" t="s">
        <v>160</v>
      </c>
    </row>
    <row r="27">
      <c r="A27" s="4" t="s">
        <v>57</v>
      </c>
      <c r="D27" s="4" t="s">
        <v>35</v>
      </c>
      <c r="E27" s="4">
        <v>78.0</v>
      </c>
      <c r="G27" s="4" t="s">
        <v>160</v>
      </c>
    </row>
    <row r="28">
      <c r="A28" s="4" t="s">
        <v>196</v>
      </c>
      <c r="D28" s="4" t="s">
        <v>197</v>
      </c>
      <c r="E28" s="4">
        <v>78.0</v>
      </c>
      <c r="G28" s="4" t="s">
        <v>160</v>
      </c>
    </row>
    <row r="29">
      <c r="A29" s="4" t="s">
        <v>59</v>
      </c>
      <c r="C29" s="4" t="s">
        <v>60</v>
      </c>
      <c r="D29" s="4" t="s">
        <v>61</v>
      </c>
      <c r="E29" s="4">
        <v>73.0</v>
      </c>
    </row>
    <row r="30">
      <c r="A30" s="4" t="s">
        <v>63</v>
      </c>
      <c r="C30" s="4" t="s">
        <v>60</v>
      </c>
      <c r="D30" s="4" t="s">
        <v>64</v>
      </c>
      <c r="E30" s="4">
        <v>73.0</v>
      </c>
    </row>
    <row r="31">
      <c r="A31" s="4" t="s">
        <v>65</v>
      </c>
      <c r="C31" s="4" t="s">
        <v>60</v>
      </c>
      <c r="D31" s="4" t="s">
        <v>66</v>
      </c>
      <c r="E31" s="4">
        <v>73.0</v>
      </c>
    </row>
    <row r="32">
      <c r="A32" s="4" t="s">
        <v>65</v>
      </c>
      <c r="C32" s="4" t="s">
        <v>60</v>
      </c>
      <c r="D32" s="4" t="s">
        <v>67</v>
      </c>
      <c r="E32" s="4">
        <v>73.0</v>
      </c>
    </row>
    <row r="33">
      <c r="A33" s="4" t="s">
        <v>68</v>
      </c>
      <c r="B33" s="4" t="s">
        <v>198</v>
      </c>
      <c r="C33" s="4" t="s">
        <v>69</v>
      </c>
      <c r="D33" s="4" t="s">
        <v>61</v>
      </c>
      <c r="E33" s="4">
        <v>78.0</v>
      </c>
      <c r="F33" s="4">
        <v>-4.11</v>
      </c>
      <c r="G33" s="4" t="s">
        <v>199</v>
      </c>
      <c r="H33" s="4">
        <v>0.446</v>
      </c>
      <c r="I33" s="4">
        <v>96.0</v>
      </c>
    </row>
    <row r="34">
      <c r="A34" s="4" t="s">
        <v>71</v>
      </c>
      <c r="C34" s="4" t="s">
        <v>69</v>
      </c>
      <c r="D34" s="4" t="s">
        <v>72</v>
      </c>
      <c r="E34" s="4">
        <v>78.0</v>
      </c>
      <c r="F34" s="4">
        <v>-4.13</v>
      </c>
      <c r="G34" s="4" t="s">
        <v>199</v>
      </c>
      <c r="H34" s="4">
        <v>0.462</v>
      </c>
      <c r="I34" s="4">
        <v>90.0</v>
      </c>
    </row>
    <row r="35">
      <c r="A35" s="4" t="s">
        <v>73</v>
      </c>
      <c r="C35" s="4" t="s">
        <v>69</v>
      </c>
      <c r="D35" s="4" t="s">
        <v>66</v>
      </c>
      <c r="E35" s="4">
        <v>78.0</v>
      </c>
      <c r="F35" s="4">
        <v>-3.66</v>
      </c>
      <c r="G35" s="4" t="s">
        <v>199</v>
      </c>
      <c r="H35" s="4">
        <v>0.344</v>
      </c>
      <c r="I35" s="4">
        <v>173.0</v>
      </c>
    </row>
    <row r="36">
      <c r="A36" s="4" t="s">
        <v>74</v>
      </c>
      <c r="C36" s="4" t="s">
        <v>69</v>
      </c>
      <c r="D36" s="4" t="s">
        <v>18</v>
      </c>
      <c r="E36" s="4">
        <v>78.0</v>
      </c>
      <c r="F36" s="4">
        <v>-3.32</v>
      </c>
      <c r="G36" s="4" t="s">
        <v>199</v>
      </c>
      <c r="H36" s="4">
        <v>0.347</v>
      </c>
      <c r="I36" s="4">
        <v>170.0</v>
      </c>
    </row>
    <row r="37">
      <c r="A37" s="4" t="s">
        <v>75</v>
      </c>
      <c r="C37" s="4" t="s">
        <v>76</v>
      </c>
      <c r="D37" s="4" t="s">
        <v>77</v>
      </c>
      <c r="E37" s="4">
        <v>79.0</v>
      </c>
    </row>
    <row r="38">
      <c r="A38" s="4" t="s">
        <v>79</v>
      </c>
      <c r="C38" s="4" t="s">
        <v>76</v>
      </c>
      <c r="D38" s="4" t="s">
        <v>80</v>
      </c>
      <c r="E38" s="4">
        <v>79.0</v>
      </c>
    </row>
    <row r="39">
      <c r="A39" s="4" t="s">
        <v>81</v>
      </c>
      <c r="C39" s="4" t="s">
        <v>76</v>
      </c>
      <c r="D39" s="4" t="s">
        <v>82</v>
      </c>
      <c r="E39" s="4">
        <v>79.0</v>
      </c>
    </row>
    <row r="40">
      <c r="A40" s="4" t="s">
        <v>83</v>
      </c>
      <c r="C40" s="4" t="s">
        <v>76</v>
      </c>
      <c r="D40" s="4" t="s">
        <v>84</v>
      </c>
      <c r="E40" s="4">
        <v>79.0</v>
      </c>
    </row>
    <row r="41">
      <c r="A41" s="4" t="s">
        <v>85</v>
      </c>
      <c r="C41" s="4" t="s">
        <v>76</v>
      </c>
      <c r="D41" s="4" t="s">
        <v>86</v>
      </c>
      <c r="E41" s="4">
        <v>79.0</v>
      </c>
    </row>
    <row r="42">
      <c r="A42" s="4" t="s">
        <v>87</v>
      </c>
      <c r="C42" s="4" t="s">
        <v>76</v>
      </c>
      <c r="D42" s="4" t="s">
        <v>18</v>
      </c>
      <c r="E42" s="4">
        <v>79.0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88</v>
      </c>
      <c r="B1" s="5" t="s">
        <v>129</v>
      </c>
      <c r="C1" s="5" t="s">
        <v>2</v>
      </c>
      <c r="D1" s="1" t="s">
        <v>207</v>
      </c>
      <c r="E1" s="1" t="s">
        <v>154</v>
      </c>
      <c r="F1" s="1" t="s">
        <v>131</v>
      </c>
      <c r="G1" s="1" t="s">
        <v>155</v>
      </c>
      <c r="H1" s="1" t="s">
        <v>156</v>
      </c>
      <c r="I1" s="1" t="s">
        <v>157</v>
      </c>
      <c r="J1" s="1" t="s">
        <v>158</v>
      </c>
      <c r="K1" s="5" t="s">
        <v>139</v>
      </c>
      <c r="L1" s="1" t="s">
        <v>114</v>
      </c>
    </row>
    <row r="2">
      <c r="A2" s="4" t="s">
        <v>27</v>
      </c>
      <c r="B2" s="4" t="s">
        <v>143</v>
      </c>
      <c r="C2" s="4" t="s">
        <v>28</v>
      </c>
      <c r="D2" s="4" t="s">
        <v>208</v>
      </c>
      <c r="E2" s="4">
        <v>1054.26</v>
      </c>
      <c r="F2" s="4">
        <v>104.16</v>
      </c>
      <c r="G2" s="4">
        <v>78.0</v>
      </c>
      <c r="K2" s="4">
        <v>19.0</v>
      </c>
    </row>
    <row r="3">
      <c r="A3" s="4" t="s">
        <v>31</v>
      </c>
      <c r="B3" s="4" t="s">
        <v>143</v>
      </c>
      <c r="C3" s="4" t="s">
        <v>32</v>
      </c>
      <c r="D3" s="4" t="s">
        <v>208</v>
      </c>
      <c r="E3" s="4" t="s">
        <v>143</v>
      </c>
      <c r="F3" s="4" t="s">
        <v>143</v>
      </c>
      <c r="G3" s="4">
        <v>78.0</v>
      </c>
      <c r="H3" s="4" t="s">
        <v>143</v>
      </c>
      <c r="J3" s="4" t="s">
        <v>143</v>
      </c>
      <c r="K3" s="4" t="s">
        <v>143</v>
      </c>
    </row>
    <row r="4">
      <c r="A4" s="4" t="s">
        <v>34</v>
      </c>
      <c r="B4" s="4" t="s">
        <v>143</v>
      </c>
      <c r="C4" s="4" t="s">
        <v>35</v>
      </c>
      <c r="D4" s="4" t="s">
        <v>208</v>
      </c>
      <c r="E4" s="4" t="s">
        <v>143</v>
      </c>
      <c r="F4" s="4" t="s">
        <v>143</v>
      </c>
      <c r="G4" s="4">
        <v>78.0</v>
      </c>
      <c r="H4" s="4" t="s">
        <v>143</v>
      </c>
      <c r="J4" s="4" t="s">
        <v>143</v>
      </c>
      <c r="K4" s="4" t="s">
        <v>143</v>
      </c>
    </row>
    <row r="5">
      <c r="A5" s="4" t="s">
        <v>37</v>
      </c>
      <c r="C5" s="4" t="s">
        <v>18</v>
      </c>
      <c r="D5" s="4" t="s">
        <v>208</v>
      </c>
      <c r="E5" s="4">
        <v>1051.67</v>
      </c>
      <c r="F5" s="4">
        <v>149.45</v>
      </c>
      <c r="G5" s="4">
        <v>78.0</v>
      </c>
      <c r="K5" s="4">
        <v>7.0</v>
      </c>
    </row>
    <row r="6">
      <c r="A6" s="4" t="s">
        <v>75</v>
      </c>
      <c r="C6" s="4" t="s">
        <v>77</v>
      </c>
      <c r="G6" s="4">
        <v>79.0</v>
      </c>
      <c r="H6" s="4">
        <v>-17.702</v>
      </c>
      <c r="I6" s="4" t="s">
        <v>170</v>
      </c>
      <c r="J6" s="4">
        <v>1.836</v>
      </c>
      <c r="K6" s="4">
        <v>43.0</v>
      </c>
    </row>
    <row r="7">
      <c r="A7" s="4" t="s">
        <v>79</v>
      </c>
      <c r="C7" s="4" t="s">
        <v>80</v>
      </c>
      <c r="G7" s="4">
        <v>79.0</v>
      </c>
      <c r="H7" s="4">
        <v>-18.423</v>
      </c>
      <c r="I7" s="4" t="s">
        <v>170</v>
      </c>
      <c r="J7" s="4">
        <v>1.865</v>
      </c>
      <c r="K7" s="4">
        <v>41.0</v>
      </c>
    </row>
    <row r="8">
      <c r="A8" s="4" t="s">
        <v>81</v>
      </c>
      <c r="C8" s="4" t="s">
        <v>82</v>
      </c>
      <c r="G8" s="4">
        <v>79.0</v>
      </c>
      <c r="H8" s="4">
        <v>-19.559</v>
      </c>
      <c r="I8" s="4" t="s">
        <v>170</v>
      </c>
      <c r="J8" s="4">
        <v>1.488</v>
      </c>
      <c r="K8" s="4">
        <v>74.0</v>
      </c>
    </row>
    <row r="9">
      <c r="A9" s="4" t="s">
        <v>83</v>
      </c>
      <c r="C9" s="4" t="s">
        <v>84</v>
      </c>
      <c r="G9" s="4">
        <v>79.0</v>
      </c>
      <c r="H9" s="4">
        <v>-21.282</v>
      </c>
      <c r="I9" s="4" t="s">
        <v>170</v>
      </c>
      <c r="J9" s="4">
        <v>0.871</v>
      </c>
      <c r="K9" s="4">
        <v>210.0</v>
      </c>
    </row>
    <row r="10">
      <c r="A10" s="4" t="s">
        <v>85</v>
      </c>
      <c r="C10" s="4" t="s">
        <v>86</v>
      </c>
      <c r="G10" s="4">
        <v>79.0</v>
      </c>
      <c r="H10" s="4">
        <v>-22.379</v>
      </c>
      <c r="I10" s="4" t="s">
        <v>170</v>
      </c>
      <c r="J10" s="4">
        <v>1.096</v>
      </c>
      <c r="K10" s="4">
        <v>127.0</v>
      </c>
    </row>
    <row r="11">
      <c r="A11" s="4" t="s">
        <v>87</v>
      </c>
      <c r="C11" s="4" t="s">
        <v>18</v>
      </c>
      <c r="G11" s="4">
        <v>79.0</v>
      </c>
      <c r="H11" s="4">
        <v>-17.653</v>
      </c>
      <c r="I11" s="4" t="s">
        <v>170</v>
      </c>
      <c r="J11" s="4">
        <v>0.817</v>
      </c>
      <c r="K11" s="4">
        <v>191.0</v>
      </c>
    </row>
    <row r="12">
      <c r="A12" s="4" t="s">
        <v>10</v>
      </c>
      <c r="C12" s="4" t="s">
        <v>12</v>
      </c>
    </row>
    <row r="13">
      <c r="A13" s="4" t="s">
        <v>17</v>
      </c>
      <c r="C13" s="4" t="s">
        <v>18</v>
      </c>
    </row>
    <row r="14">
      <c r="A14" s="4" t="s">
        <v>19</v>
      </c>
      <c r="C14" s="4" t="s">
        <v>20</v>
      </c>
    </row>
    <row r="15">
      <c r="A15" s="4" t="s">
        <v>21</v>
      </c>
      <c r="C15" s="4" t="s">
        <v>18</v>
      </c>
    </row>
    <row r="16">
      <c r="A16" s="4" t="s">
        <v>22</v>
      </c>
      <c r="C16" s="4" t="s">
        <v>12</v>
      </c>
      <c r="D16" s="4" t="s">
        <v>208</v>
      </c>
      <c r="G16" s="4">
        <v>104.0</v>
      </c>
      <c r="H16" s="4">
        <v>-23.44</v>
      </c>
      <c r="I16" s="4" t="s">
        <v>170</v>
      </c>
      <c r="J16" s="4">
        <v>1.095</v>
      </c>
      <c r="K16" s="4">
        <v>65.0</v>
      </c>
    </row>
    <row r="17">
      <c r="A17" s="4" t="s">
        <v>25</v>
      </c>
      <c r="C17" s="4" t="s">
        <v>20</v>
      </c>
      <c r="D17" s="4" t="s">
        <v>208</v>
      </c>
      <c r="G17" s="4">
        <v>104.0</v>
      </c>
      <c r="H17" s="4">
        <v>-23.55</v>
      </c>
      <c r="I17" s="4" t="s">
        <v>170</v>
      </c>
      <c r="J17" s="4">
        <v>1.158</v>
      </c>
      <c r="K17" s="4">
        <v>57.0</v>
      </c>
    </row>
    <row r="18">
      <c r="A18" s="4" t="s">
        <v>26</v>
      </c>
      <c r="C18" s="4" t="s">
        <v>18</v>
      </c>
      <c r="D18" s="4" t="s">
        <v>208</v>
      </c>
      <c r="G18" s="4">
        <v>104.0</v>
      </c>
      <c r="H18" s="4">
        <v>-24.06</v>
      </c>
      <c r="I18" s="4" t="s">
        <v>170</v>
      </c>
      <c r="J18" s="4">
        <v>1.101</v>
      </c>
      <c r="K18" s="4">
        <v>64.0</v>
      </c>
    </row>
    <row r="19">
      <c r="A19" s="4" t="s">
        <v>38</v>
      </c>
      <c r="C19" s="4" t="s">
        <v>40</v>
      </c>
    </row>
    <row r="20">
      <c r="A20" s="4" t="s">
        <v>42</v>
      </c>
      <c r="C20" s="4" t="s">
        <v>43</v>
      </c>
    </row>
    <row r="21">
      <c r="A21" s="4" t="s">
        <v>44</v>
      </c>
      <c r="C21" s="4" t="s">
        <v>45</v>
      </c>
    </row>
    <row r="22">
      <c r="A22" s="4" t="s">
        <v>46</v>
      </c>
      <c r="C22" s="4" t="s">
        <v>18</v>
      </c>
    </row>
    <row r="23">
      <c r="A23" s="4" t="s">
        <v>47</v>
      </c>
      <c r="C23" s="4" t="s">
        <v>49</v>
      </c>
    </row>
    <row r="24">
      <c r="A24" s="4" t="s">
        <v>51</v>
      </c>
      <c r="C24" s="4" t="s">
        <v>18</v>
      </c>
    </row>
    <row r="25">
      <c r="A25" s="4" t="s">
        <v>52</v>
      </c>
      <c r="C25" s="4" t="s">
        <v>53</v>
      </c>
    </row>
    <row r="26">
      <c r="A26" s="4" t="s">
        <v>55</v>
      </c>
      <c r="C26" s="4" t="s">
        <v>28</v>
      </c>
    </row>
    <row r="27">
      <c r="A27" s="4" t="s">
        <v>56</v>
      </c>
      <c r="C27" s="4" t="s">
        <v>32</v>
      </c>
    </row>
    <row r="28">
      <c r="A28" s="4" t="s">
        <v>57</v>
      </c>
      <c r="C28" s="4" t="s">
        <v>35</v>
      </c>
    </row>
    <row r="29">
      <c r="A29" s="4" t="s">
        <v>58</v>
      </c>
      <c r="C29" s="4" t="s">
        <v>18</v>
      </c>
    </row>
    <row r="30">
      <c r="A30" s="4" t="s">
        <v>59</v>
      </c>
      <c r="C30" s="4" t="s">
        <v>61</v>
      </c>
    </row>
    <row r="31">
      <c r="A31" s="4" t="s">
        <v>63</v>
      </c>
      <c r="C31" s="4" t="s">
        <v>64</v>
      </c>
    </row>
    <row r="32">
      <c r="A32" s="4" t="s">
        <v>65</v>
      </c>
      <c r="C32" s="4" t="s">
        <v>66</v>
      </c>
    </row>
    <row r="33">
      <c r="A33" s="4" t="s">
        <v>65</v>
      </c>
      <c r="C33" s="4" t="s">
        <v>67</v>
      </c>
    </row>
    <row r="34">
      <c r="A34" s="4" t="s">
        <v>68</v>
      </c>
      <c r="C34" s="4" t="s">
        <v>61</v>
      </c>
    </row>
    <row r="35">
      <c r="A35" s="4" t="s">
        <v>71</v>
      </c>
      <c r="C35" s="4" t="s">
        <v>72</v>
      </c>
    </row>
    <row r="36">
      <c r="A36" s="4" t="s">
        <v>73</v>
      </c>
      <c r="C36" s="4" t="s">
        <v>66</v>
      </c>
    </row>
    <row r="37">
      <c r="A37" s="4" t="s">
        <v>74</v>
      </c>
      <c r="C37" s="4" t="s">
        <v>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152</v>
      </c>
      <c r="C1" s="1" t="s">
        <v>207</v>
      </c>
      <c r="D1" s="1" t="s">
        <v>154</v>
      </c>
      <c r="E1" s="1" t="s">
        <v>131</v>
      </c>
      <c r="F1" s="1" t="s">
        <v>155</v>
      </c>
      <c r="G1" s="1" t="s">
        <v>156</v>
      </c>
      <c r="H1" s="1" t="s">
        <v>157</v>
      </c>
      <c r="I1" s="1" t="s">
        <v>158</v>
      </c>
      <c r="J1" s="6" t="s">
        <v>139</v>
      </c>
      <c r="K1" s="6" t="s">
        <v>114</v>
      </c>
    </row>
    <row r="2">
      <c r="A2" s="4" t="s">
        <v>10</v>
      </c>
      <c r="B2" s="4" t="s">
        <v>12</v>
      </c>
    </row>
    <row r="3">
      <c r="A3" s="4" t="s">
        <v>17</v>
      </c>
      <c r="B3" s="4" t="s">
        <v>18</v>
      </c>
    </row>
    <row r="4">
      <c r="A4" s="4" t="s">
        <v>19</v>
      </c>
      <c r="B4" s="4" t="s">
        <v>20</v>
      </c>
    </row>
    <row r="5">
      <c r="A5" s="4" t="s">
        <v>21</v>
      </c>
      <c r="B5" s="4" t="s">
        <v>18</v>
      </c>
    </row>
    <row r="6">
      <c r="A6" s="4" t="s">
        <v>22</v>
      </c>
      <c r="B6" s="4" t="s">
        <v>12</v>
      </c>
    </row>
    <row r="7">
      <c r="A7" s="4" t="s">
        <v>25</v>
      </c>
      <c r="B7" s="4" t="s">
        <v>20</v>
      </c>
    </row>
    <row r="8">
      <c r="A8" s="4" t="s">
        <v>26</v>
      </c>
      <c r="B8" s="4" t="s">
        <v>18</v>
      </c>
    </row>
    <row r="9">
      <c r="A9" s="4" t="s">
        <v>27</v>
      </c>
      <c r="B9" s="4" t="s">
        <v>28</v>
      </c>
    </row>
    <row r="10">
      <c r="A10" s="4" t="s">
        <v>31</v>
      </c>
      <c r="B10" s="4" t="s">
        <v>32</v>
      </c>
    </row>
    <row r="11">
      <c r="A11" s="4" t="s">
        <v>34</v>
      </c>
      <c r="B11" s="4" t="s">
        <v>35</v>
      </c>
    </row>
    <row r="12">
      <c r="A12" s="4" t="s">
        <v>37</v>
      </c>
      <c r="B12" s="4" t="s">
        <v>18</v>
      </c>
    </row>
    <row r="13">
      <c r="A13" s="4" t="s">
        <v>38</v>
      </c>
      <c r="B13" s="4" t="s">
        <v>40</v>
      </c>
    </row>
    <row r="14">
      <c r="A14" s="4" t="s">
        <v>42</v>
      </c>
      <c r="B14" s="4" t="s">
        <v>43</v>
      </c>
    </row>
    <row r="15">
      <c r="A15" s="4" t="s">
        <v>44</v>
      </c>
      <c r="B15" s="4" t="s">
        <v>45</v>
      </c>
    </row>
    <row r="16">
      <c r="A16" s="4" t="s">
        <v>46</v>
      </c>
      <c r="B16" s="4" t="s">
        <v>18</v>
      </c>
    </row>
    <row r="17">
      <c r="A17" s="4" t="s">
        <v>47</v>
      </c>
      <c r="B17" s="4" t="s">
        <v>49</v>
      </c>
    </row>
    <row r="18">
      <c r="A18" s="4" t="s">
        <v>51</v>
      </c>
      <c r="B18" s="4" t="s">
        <v>18</v>
      </c>
    </row>
    <row r="19">
      <c r="A19" s="4" t="s">
        <v>52</v>
      </c>
      <c r="B19" s="4" t="s">
        <v>53</v>
      </c>
    </row>
    <row r="20">
      <c r="A20" s="4" t="s">
        <v>55</v>
      </c>
      <c r="B20" s="4" t="s">
        <v>28</v>
      </c>
    </row>
    <row r="21">
      <c r="A21" s="4" t="s">
        <v>56</v>
      </c>
      <c r="B21" s="4" t="s">
        <v>32</v>
      </c>
    </row>
    <row r="22">
      <c r="A22" s="4" t="s">
        <v>57</v>
      </c>
      <c r="B22" s="4" t="s">
        <v>35</v>
      </c>
    </row>
    <row r="23">
      <c r="A23" s="4" t="s">
        <v>58</v>
      </c>
      <c r="B23" s="4" t="s">
        <v>18</v>
      </c>
    </row>
    <row r="24">
      <c r="A24" s="4" t="s">
        <v>59</v>
      </c>
      <c r="B24" s="4" t="s">
        <v>61</v>
      </c>
    </row>
    <row r="25">
      <c r="A25" s="4" t="s">
        <v>63</v>
      </c>
      <c r="B25" s="4" t="s">
        <v>64</v>
      </c>
    </row>
    <row r="26">
      <c r="A26" s="4" t="s">
        <v>65</v>
      </c>
      <c r="B26" s="4" t="s">
        <v>66</v>
      </c>
    </row>
    <row r="27">
      <c r="A27" s="4" t="s">
        <v>65</v>
      </c>
      <c r="B27" s="4" t="s">
        <v>67</v>
      </c>
    </row>
    <row r="28">
      <c r="A28" s="4" t="s">
        <v>68</v>
      </c>
      <c r="B28" s="4" t="s">
        <v>61</v>
      </c>
    </row>
    <row r="29">
      <c r="A29" s="4" t="s">
        <v>71</v>
      </c>
      <c r="B29" s="4" t="s">
        <v>72</v>
      </c>
    </row>
    <row r="30">
      <c r="A30" s="4" t="s">
        <v>73</v>
      </c>
      <c r="B30" s="4" t="s">
        <v>66</v>
      </c>
    </row>
    <row r="31">
      <c r="A31" s="4" t="s">
        <v>74</v>
      </c>
      <c r="B31" s="4" t="s">
        <v>18</v>
      </c>
    </row>
    <row r="32">
      <c r="A32" s="4" t="s">
        <v>75</v>
      </c>
      <c r="B32" s="4" t="s">
        <v>77</v>
      </c>
    </row>
    <row r="33">
      <c r="A33" s="4" t="s">
        <v>79</v>
      </c>
      <c r="B33" s="4" t="s">
        <v>80</v>
      </c>
    </row>
    <row r="34">
      <c r="A34" s="4" t="s">
        <v>81</v>
      </c>
      <c r="B34" s="4" t="s">
        <v>82</v>
      </c>
    </row>
    <row r="35">
      <c r="A35" s="4" t="s">
        <v>83</v>
      </c>
      <c r="B35" s="4" t="s">
        <v>84</v>
      </c>
    </row>
    <row r="36">
      <c r="A36" s="4" t="s">
        <v>85</v>
      </c>
      <c r="B36" s="4" t="s">
        <v>86</v>
      </c>
    </row>
    <row r="37">
      <c r="A37" s="4" t="s">
        <v>87</v>
      </c>
      <c r="B37" s="4" t="s">
        <v>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209</v>
      </c>
      <c r="C1" s="1" t="s">
        <v>152</v>
      </c>
      <c r="D1" s="5" t="s">
        <v>207</v>
      </c>
      <c r="E1" s="1" t="s">
        <v>154</v>
      </c>
      <c r="F1" s="1" t="s">
        <v>131</v>
      </c>
      <c r="G1" s="1" t="s">
        <v>155</v>
      </c>
      <c r="H1" s="1" t="s">
        <v>156</v>
      </c>
      <c r="I1" s="1" t="s">
        <v>157</v>
      </c>
      <c r="J1" s="1" t="s">
        <v>158</v>
      </c>
      <c r="K1" s="6" t="s">
        <v>210</v>
      </c>
      <c r="L1" s="6" t="s">
        <v>114</v>
      </c>
    </row>
    <row r="2">
      <c r="A2" s="4" t="s">
        <v>10</v>
      </c>
      <c r="C2" s="4" t="s">
        <v>12</v>
      </c>
      <c r="D2" s="4" t="s">
        <v>211</v>
      </c>
      <c r="G2" s="4">
        <v>69.0</v>
      </c>
      <c r="H2" s="4">
        <v>74.9</v>
      </c>
      <c r="I2" s="4"/>
      <c r="J2" s="4"/>
    </row>
    <row r="3">
      <c r="A3" s="4" t="s">
        <v>17</v>
      </c>
      <c r="C3" s="4" t="s">
        <v>18</v>
      </c>
      <c r="D3" s="4" t="s">
        <v>211</v>
      </c>
      <c r="G3" s="4">
        <v>69.0</v>
      </c>
      <c r="H3" s="4">
        <v>-52.11</v>
      </c>
      <c r="I3" s="4"/>
      <c r="J3" s="4"/>
    </row>
    <row r="4">
      <c r="A4" s="4" t="s">
        <v>19</v>
      </c>
      <c r="C4" s="4" t="s">
        <v>20</v>
      </c>
      <c r="D4" s="4" t="s">
        <v>211</v>
      </c>
      <c r="G4" s="4">
        <v>69.0</v>
      </c>
      <c r="H4" s="4">
        <v>7.86</v>
      </c>
      <c r="I4" s="4"/>
      <c r="J4" s="4"/>
    </row>
    <row r="5">
      <c r="A5" s="4" t="s">
        <v>21</v>
      </c>
      <c r="C5" s="4" t="s">
        <v>18</v>
      </c>
      <c r="D5" s="4" t="s">
        <v>211</v>
      </c>
      <c r="G5" s="4">
        <v>69.0</v>
      </c>
      <c r="H5" s="4">
        <v>-86.65</v>
      </c>
      <c r="I5" s="4"/>
      <c r="J5" s="4"/>
    </row>
    <row r="6">
      <c r="A6" s="4" t="s">
        <v>22</v>
      </c>
      <c r="C6" s="4" t="s">
        <v>12</v>
      </c>
      <c r="D6" s="4"/>
    </row>
    <row r="7">
      <c r="A7" s="4" t="s">
        <v>25</v>
      </c>
      <c r="C7" s="4" t="s">
        <v>20</v>
      </c>
      <c r="D7" s="4"/>
    </row>
    <row r="8">
      <c r="A8" s="4" t="s">
        <v>26</v>
      </c>
      <c r="C8" s="4" t="s">
        <v>18</v>
      </c>
      <c r="D8" s="4"/>
    </row>
    <row r="9">
      <c r="A9" s="4" t="s">
        <v>27</v>
      </c>
      <c r="C9" s="4" t="s">
        <v>28</v>
      </c>
      <c r="D9" s="4"/>
    </row>
    <row r="10">
      <c r="A10" s="4" t="s">
        <v>31</v>
      </c>
      <c r="C10" s="4" t="s">
        <v>32</v>
      </c>
      <c r="D10" s="4"/>
    </row>
    <row r="11">
      <c r="A11" s="4" t="s">
        <v>34</v>
      </c>
      <c r="C11" s="4" t="s">
        <v>35</v>
      </c>
      <c r="D11" s="4"/>
    </row>
    <row r="12">
      <c r="A12" s="4" t="s">
        <v>37</v>
      </c>
      <c r="C12" s="4" t="s">
        <v>18</v>
      </c>
      <c r="D12" s="4"/>
    </row>
    <row r="13">
      <c r="A13" s="4" t="s">
        <v>38</v>
      </c>
      <c r="C13" s="4" t="s">
        <v>40</v>
      </c>
      <c r="D13" s="4" t="s">
        <v>211</v>
      </c>
    </row>
    <row r="14">
      <c r="A14" s="4" t="s">
        <v>42</v>
      </c>
      <c r="C14" s="4" t="s">
        <v>43</v>
      </c>
      <c r="D14" s="4" t="s">
        <v>211</v>
      </c>
    </row>
    <row r="15">
      <c r="A15" s="4" t="s">
        <v>44</v>
      </c>
      <c r="C15" s="4" t="s">
        <v>45</v>
      </c>
      <c r="D15" s="4" t="s">
        <v>211</v>
      </c>
    </row>
    <row r="16">
      <c r="A16" s="4" t="s">
        <v>46</v>
      </c>
      <c r="C16" s="4" t="s">
        <v>18</v>
      </c>
      <c r="D16" s="4" t="s">
        <v>211</v>
      </c>
    </row>
    <row r="17">
      <c r="A17" s="4" t="s">
        <v>47</v>
      </c>
      <c r="C17" s="4" t="s">
        <v>49</v>
      </c>
    </row>
    <row r="18">
      <c r="A18" s="4" t="s">
        <v>51</v>
      </c>
      <c r="C18" s="4" t="s">
        <v>18</v>
      </c>
    </row>
    <row r="19">
      <c r="A19" s="4" t="s">
        <v>52</v>
      </c>
      <c r="C19" s="4" t="s">
        <v>53</v>
      </c>
    </row>
    <row r="20">
      <c r="A20" s="4" t="s">
        <v>55</v>
      </c>
      <c r="C20" s="4" t="s">
        <v>28</v>
      </c>
    </row>
    <row r="21">
      <c r="A21" s="4" t="s">
        <v>56</v>
      </c>
      <c r="C21" s="4" t="s">
        <v>32</v>
      </c>
    </row>
    <row r="22">
      <c r="A22" s="4" t="s">
        <v>57</v>
      </c>
      <c r="C22" s="4" t="s">
        <v>35</v>
      </c>
    </row>
    <row r="23">
      <c r="A23" s="4" t="s">
        <v>58</v>
      </c>
      <c r="C23" s="4" t="s">
        <v>18</v>
      </c>
    </row>
    <row r="24">
      <c r="A24" s="4" t="s">
        <v>59</v>
      </c>
      <c r="C24" s="4" t="s">
        <v>61</v>
      </c>
      <c r="D24" s="4" t="s">
        <v>211</v>
      </c>
    </row>
    <row r="25">
      <c r="A25" s="4" t="s">
        <v>63</v>
      </c>
      <c r="C25" s="4" t="s">
        <v>64</v>
      </c>
      <c r="D25" s="4" t="s">
        <v>211</v>
      </c>
    </row>
    <row r="26">
      <c r="A26" s="4" t="s">
        <v>65</v>
      </c>
      <c r="C26" s="4" t="s">
        <v>66</v>
      </c>
      <c r="D26" s="4" t="s">
        <v>211</v>
      </c>
    </row>
    <row r="27">
      <c r="A27" s="4" t="s">
        <v>65</v>
      </c>
      <c r="C27" s="4" t="s">
        <v>67</v>
      </c>
      <c r="D27" s="4" t="s">
        <v>211</v>
      </c>
    </row>
    <row r="28">
      <c r="A28" s="4" t="s">
        <v>68</v>
      </c>
      <c r="B28" s="4" t="s">
        <v>105</v>
      </c>
      <c r="C28" s="4" t="s">
        <v>61</v>
      </c>
      <c r="D28" s="4" t="s">
        <v>211</v>
      </c>
      <c r="G28" s="4">
        <v>76.0</v>
      </c>
      <c r="H28" s="4">
        <v>-16.24</v>
      </c>
      <c r="I28" s="4" t="s">
        <v>160</v>
      </c>
      <c r="J28" s="4"/>
      <c r="K28" s="4">
        <v>24.0</v>
      </c>
    </row>
    <row r="29">
      <c r="A29" s="4" t="s">
        <v>68</v>
      </c>
      <c r="B29" s="4" t="s">
        <v>212</v>
      </c>
      <c r="C29" s="4" t="s">
        <v>61</v>
      </c>
      <c r="D29" s="4" t="s">
        <v>211</v>
      </c>
      <c r="G29" s="4">
        <v>76.0</v>
      </c>
      <c r="H29" s="4">
        <v>12.66</v>
      </c>
      <c r="I29" s="4" t="s">
        <v>160</v>
      </c>
      <c r="J29" s="4"/>
      <c r="K29" s="4">
        <v>19.0</v>
      </c>
    </row>
    <row r="30">
      <c r="A30" s="4" t="s">
        <v>71</v>
      </c>
      <c r="C30" s="4" t="s">
        <v>72</v>
      </c>
      <c r="D30" s="4" t="s">
        <v>211</v>
      </c>
      <c r="G30" s="4">
        <v>76.0</v>
      </c>
      <c r="H30" s="4">
        <v>-21.07</v>
      </c>
      <c r="I30" s="4" t="s">
        <v>160</v>
      </c>
      <c r="J30" s="4"/>
      <c r="K30" s="4">
        <v>39.0</v>
      </c>
    </row>
    <row r="31">
      <c r="A31" s="4" t="s">
        <v>73</v>
      </c>
      <c r="C31" s="4" t="s">
        <v>66</v>
      </c>
      <c r="D31" s="4" t="s">
        <v>211</v>
      </c>
      <c r="G31" s="4">
        <v>76.0</v>
      </c>
      <c r="H31" s="4">
        <v>-8.99</v>
      </c>
      <c r="I31" s="4" t="s">
        <v>160</v>
      </c>
      <c r="J31" s="4"/>
      <c r="K31" s="4">
        <v>66.0</v>
      </c>
    </row>
    <row r="32">
      <c r="A32" s="4" t="s">
        <v>74</v>
      </c>
      <c r="C32" s="4" t="s">
        <v>18</v>
      </c>
      <c r="D32" s="4" t="s">
        <v>211</v>
      </c>
      <c r="G32" s="4">
        <v>76.0</v>
      </c>
      <c r="H32" s="4">
        <v>-17.38</v>
      </c>
      <c r="I32" s="4" t="s">
        <v>160</v>
      </c>
      <c r="J32" s="4"/>
      <c r="K32" s="4">
        <v>62.0</v>
      </c>
    </row>
    <row r="33">
      <c r="A33" s="4" t="s">
        <v>75</v>
      </c>
      <c r="C33" s="4" t="s">
        <v>77</v>
      </c>
    </row>
    <row r="34">
      <c r="A34" s="4" t="s">
        <v>79</v>
      </c>
      <c r="C34" s="4" t="s">
        <v>80</v>
      </c>
    </row>
    <row r="35">
      <c r="A35" s="4" t="s">
        <v>81</v>
      </c>
      <c r="C35" s="4" t="s">
        <v>82</v>
      </c>
    </row>
    <row r="36">
      <c r="A36" s="4" t="s">
        <v>83</v>
      </c>
      <c r="C36" s="4" t="s">
        <v>84</v>
      </c>
    </row>
    <row r="37">
      <c r="A37" s="4" t="s">
        <v>85</v>
      </c>
      <c r="C37" s="4" t="s">
        <v>86</v>
      </c>
    </row>
    <row r="38">
      <c r="A38" s="4" t="s">
        <v>87</v>
      </c>
      <c r="C38" s="4" t="s">
        <v>18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209</v>
      </c>
      <c r="C1" s="1" t="s">
        <v>152</v>
      </c>
      <c r="D1" s="5" t="s">
        <v>207</v>
      </c>
      <c r="E1" s="1" t="s">
        <v>154</v>
      </c>
      <c r="F1" s="1" t="s">
        <v>131</v>
      </c>
      <c r="G1" s="1" t="s">
        <v>155</v>
      </c>
      <c r="H1" s="1" t="s">
        <v>156</v>
      </c>
      <c r="I1" s="1" t="s">
        <v>157</v>
      </c>
      <c r="J1" s="5" t="s">
        <v>213</v>
      </c>
      <c r="K1" s="6" t="s">
        <v>210</v>
      </c>
      <c r="L1" s="6" t="s">
        <v>114</v>
      </c>
    </row>
    <row r="2">
      <c r="A2" s="4" t="s">
        <v>38</v>
      </c>
      <c r="C2" s="4" t="s">
        <v>40</v>
      </c>
      <c r="D2" s="4" t="s">
        <v>211</v>
      </c>
      <c r="E2" s="4">
        <v>41.9</v>
      </c>
      <c r="F2" s="4">
        <v>29.1</v>
      </c>
      <c r="G2" s="4">
        <v>49.0</v>
      </c>
      <c r="H2" s="4">
        <v>38.7</v>
      </c>
      <c r="I2" s="4" t="s">
        <v>214</v>
      </c>
      <c r="J2" s="4">
        <v>28.9</v>
      </c>
      <c r="K2" s="4">
        <v>25.0</v>
      </c>
      <c r="L2" s="4" t="s">
        <v>131</v>
      </c>
    </row>
    <row r="3">
      <c r="A3" s="4" t="s">
        <v>38</v>
      </c>
      <c r="C3" s="4" t="s">
        <v>40</v>
      </c>
      <c r="D3" s="4" t="s">
        <v>211</v>
      </c>
      <c r="E3" s="4">
        <v>41.9</v>
      </c>
      <c r="F3" s="4">
        <v>29.1</v>
      </c>
      <c r="G3" s="4">
        <v>73.0</v>
      </c>
      <c r="H3" s="4">
        <v>42.0</v>
      </c>
      <c r="I3" s="4" t="s">
        <v>214</v>
      </c>
      <c r="J3" s="4">
        <v>27.4</v>
      </c>
      <c r="K3" s="4">
        <v>25.0</v>
      </c>
      <c r="L3" s="4" t="s">
        <v>131</v>
      </c>
    </row>
    <row r="4">
      <c r="A4" s="4" t="s">
        <v>42</v>
      </c>
      <c r="C4" s="4" t="s">
        <v>43</v>
      </c>
      <c r="D4" s="4" t="s">
        <v>211</v>
      </c>
      <c r="E4" s="4">
        <v>36.4</v>
      </c>
      <c r="F4" s="4">
        <v>21.3</v>
      </c>
      <c r="G4" s="4">
        <v>49.0</v>
      </c>
      <c r="H4" s="4">
        <v>28.6</v>
      </c>
      <c r="I4" s="4" t="s">
        <v>214</v>
      </c>
      <c r="J4" s="4">
        <v>14.5</v>
      </c>
      <c r="K4" s="4">
        <v>38.0</v>
      </c>
      <c r="L4" s="4" t="s">
        <v>131</v>
      </c>
    </row>
    <row r="5">
      <c r="A5" s="4" t="s">
        <v>42</v>
      </c>
      <c r="C5" s="4" t="s">
        <v>43</v>
      </c>
      <c r="D5" s="4" t="s">
        <v>211</v>
      </c>
      <c r="E5" s="4">
        <v>36.4</v>
      </c>
      <c r="F5" s="4">
        <v>21.3</v>
      </c>
      <c r="G5" s="4">
        <v>73.0</v>
      </c>
      <c r="H5" s="4">
        <v>27.1</v>
      </c>
      <c r="I5" s="4" t="s">
        <v>214</v>
      </c>
      <c r="J5" s="4">
        <v>10.4</v>
      </c>
      <c r="K5" s="4">
        <v>38.0</v>
      </c>
      <c r="L5" s="4" t="s">
        <v>131</v>
      </c>
    </row>
    <row r="6">
      <c r="A6" s="4" t="s">
        <v>44</v>
      </c>
      <c r="C6" s="4" t="s">
        <v>45</v>
      </c>
      <c r="D6" s="4" t="s">
        <v>211</v>
      </c>
      <c r="E6" s="4">
        <v>44.5</v>
      </c>
      <c r="F6" s="4">
        <v>22.4</v>
      </c>
      <c r="G6" s="4">
        <v>49.0</v>
      </c>
      <c r="H6" s="4">
        <v>38.2</v>
      </c>
      <c r="I6" s="4" t="s">
        <v>214</v>
      </c>
      <c r="J6" s="4">
        <v>13.4</v>
      </c>
      <c r="K6" s="4">
        <v>24.0</v>
      </c>
      <c r="L6" s="4" t="s">
        <v>131</v>
      </c>
    </row>
    <row r="7">
      <c r="A7" s="4" t="s">
        <v>44</v>
      </c>
      <c r="C7" s="4" t="s">
        <v>45</v>
      </c>
      <c r="D7" s="4" t="s">
        <v>211</v>
      </c>
      <c r="E7" s="4">
        <v>44.5</v>
      </c>
      <c r="F7" s="4">
        <v>22.4</v>
      </c>
      <c r="G7" s="4">
        <v>73.0</v>
      </c>
      <c r="H7" s="4">
        <v>41.4</v>
      </c>
      <c r="I7" s="4" t="s">
        <v>214</v>
      </c>
      <c r="J7" s="4">
        <v>16.4</v>
      </c>
      <c r="K7" s="4">
        <v>24.0</v>
      </c>
      <c r="L7" s="4" t="s">
        <v>131</v>
      </c>
    </row>
    <row r="8">
      <c r="A8" s="4" t="s">
        <v>46</v>
      </c>
      <c r="C8" s="4" t="s">
        <v>18</v>
      </c>
      <c r="D8" s="4" t="s">
        <v>211</v>
      </c>
      <c r="E8" s="4">
        <v>33.9</v>
      </c>
      <c r="F8" s="4">
        <v>17.7</v>
      </c>
      <c r="G8" s="4">
        <v>49.0</v>
      </c>
      <c r="H8" s="4">
        <v>35.2</v>
      </c>
      <c r="I8" s="4" t="s">
        <v>214</v>
      </c>
      <c r="J8" s="4">
        <v>18.1</v>
      </c>
      <c r="K8" s="4">
        <v>36.0</v>
      </c>
      <c r="L8" s="4" t="s">
        <v>131</v>
      </c>
    </row>
    <row r="9">
      <c r="A9" s="4" t="s">
        <v>46</v>
      </c>
      <c r="C9" s="4" t="s">
        <v>18</v>
      </c>
      <c r="D9" s="4" t="s">
        <v>211</v>
      </c>
      <c r="E9" s="4">
        <v>33.9</v>
      </c>
      <c r="F9" s="4">
        <v>17.7</v>
      </c>
      <c r="G9" s="4">
        <v>73.0</v>
      </c>
      <c r="H9" s="4">
        <v>32.1</v>
      </c>
      <c r="I9" s="4" t="s">
        <v>214</v>
      </c>
      <c r="J9" s="4">
        <v>17.1</v>
      </c>
      <c r="K9" s="4">
        <v>36.0</v>
      </c>
      <c r="L9" s="4" t="s">
        <v>131</v>
      </c>
    </row>
    <row r="10">
      <c r="A10" s="4" t="s">
        <v>68</v>
      </c>
      <c r="B10" s="4" t="s">
        <v>105</v>
      </c>
      <c r="C10" s="4" t="s">
        <v>61</v>
      </c>
      <c r="D10" s="4" t="s">
        <v>211</v>
      </c>
      <c r="G10" s="4">
        <v>76.0</v>
      </c>
      <c r="H10" s="4">
        <v>-18.84</v>
      </c>
      <c r="I10" s="4" t="s">
        <v>160</v>
      </c>
      <c r="J10" s="4"/>
      <c r="K10" s="4">
        <v>24.0</v>
      </c>
    </row>
    <row r="11">
      <c r="A11" s="4" t="s">
        <v>68</v>
      </c>
      <c r="B11" s="4" t="s">
        <v>212</v>
      </c>
      <c r="C11" s="4" t="s">
        <v>61</v>
      </c>
      <c r="D11" s="4" t="s">
        <v>211</v>
      </c>
      <c r="G11" s="4">
        <v>76.0</v>
      </c>
      <c r="H11" s="4">
        <v>-11.72</v>
      </c>
      <c r="I11" s="4" t="s">
        <v>160</v>
      </c>
      <c r="J11" s="4"/>
      <c r="K11" s="4">
        <v>19.0</v>
      </c>
    </row>
    <row r="12">
      <c r="A12" s="4" t="s">
        <v>71</v>
      </c>
      <c r="C12" s="4" t="s">
        <v>72</v>
      </c>
      <c r="D12" s="4" t="s">
        <v>211</v>
      </c>
      <c r="G12" s="4">
        <v>76.0</v>
      </c>
      <c r="H12" s="4">
        <v>-17.44</v>
      </c>
      <c r="I12" s="4" t="s">
        <v>160</v>
      </c>
      <c r="J12" s="4"/>
      <c r="K12" s="4">
        <v>39.0</v>
      </c>
    </row>
    <row r="13">
      <c r="A13" s="4" t="s">
        <v>73</v>
      </c>
      <c r="C13" s="4" t="s">
        <v>66</v>
      </c>
      <c r="D13" s="4" t="s">
        <v>211</v>
      </c>
      <c r="G13" s="4">
        <v>76.0</v>
      </c>
      <c r="H13" s="4">
        <v>-26.52</v>
      </c>
      <c r="I13" s="4" t="s">
        <v>160</v>
      </c>
      <c r="J13" s="4"/>
      <c r="K13" s="4">
        <v>66.0</v>
      </c>
    </row>
    <row r="14">
      <c r="A14" s="4" t="s">
        <v>74</v>
      </c>
      <c r="C14" s="4" t="s">
        <v>18</v>
      </c>
      <c r="D14" s="4" t="s">
        <v>211</v>
      </c>
      <c r="G14" s="4">
        <v>76.0</v>
      </c>
      <c r="H14" s="4">
        <v>-1.05</v>
      </c>
      <c r="I14" s="4" t="s">
        <v>160</v>
      </c>
      <c r="J14" s="4"/>
      <c r="K14" s="4">
        <v>62.0</v>
      </c>
    </row>
    <row r="15">
      <c r="A15" s="4" t="s">
        <v>10</v>
      </c>
      <c r="C15" s="4" t="s">
        <v>12</v>
      </c>
    </row>
    <row r="16">
      <c r="A16" s="4" t="s">
        <v>17</v>
      </c>
      <c r="C16" s="4" t="s">
        <v>18</v>
      </c>
    </row>
    <row r="17">
      <c r="A17" s="4" t="s">
        <v>19</v>
      </c>
      <c r="C17" s="4" t="s">
        <v>20</v>
      </c>
    </row>
    <row r="18">
      <c r="A18" s="4" t="s">
        <v>21</v>
      </c>
      <c r="C18" s="4" t="s">
        <v>18</v>
      </c>
    </row>
    <row r="19">
      <c r="A19" s="4" t="s">
        <v>22</v>
      </c>
      <c r="C19" s="4" t="s">
        <v>12</v>
      </c>
    </row>
    <row r="20">
      <c r="A20" s="4" t="s">
        <v>25</v>
      </c>
      <c r="C20" s="4" t="s">
        <v>20</v>
      </c>
    </row>
    <row r="21">
      <c r="A21" s="4" t="s">
        <v>26</v>
      </c>
      <c r="C21" s="4" t="s">
        <v>18</v>
      </c>
    </row>
    <row r="22">
      <c r="A22" s="4" t="s">
        <v>27</v>
      </c>
      <c r="C22" s="4" t="s">
        <v>28</v>
      </c>
    </row>
    <row r="23">
      <c r="A23" s="4" t="s">
        <v>31</v>
      </c>
      <c r="C23" s="4" t="s">
        <v>32</v>
      </c>
    </row>
    <row r="24">
      <c r="A24" s="4" t="s">
        <v>34</v>
      </c>
      <c r="C24" s="4" t="s">
        <v>35</v>
      </c>
    </row>
    <row r="25">
      <c r="A25" s="4" t="s">
        <v>37</v>
      </c>
      <c r="C25" s="4" t="s">
        <v>18</v>
      </c>
    </row>
    <row r="26">
      <c r="A26" s="4" t="s">
        <v>47</v>
      </c>
      <c r="C26" s="4" t="s">
        <v>49</v>
      </c>
    </row>
    <row r="27">
      <c r="A27" s="4" t="s">
        <v>51</v>
      </c>
      <c r="C27" s="4" t="s">
        <v>18</v>
      </c>
    </row>
    <row r="28">
      <c r="A28" s="4" t="s">
        <v>52</v>
      </c>
      <c r="C28" s="4" t="s">
        <v>53</v>
      </c>
    </row>
    <row r="29">
      <c r="A29" s="4" t="s">
        <v>55</v>
      </c>
      <c r="C29" s="4" t="s">
        <v>28</v>
      </c>
    </row>
    <row r="30">
      <c r="A30" s="4" t="s">
        <v>56</v>
      </c>
      <c r="C30" s="4" t="s">
        <v>32</v>
      </c>
    </row>
    <row r="31">
      <c r="A31" s="4" t="s">
        <v>57</v>
      </c>
      <c r="C31" s="4" t="s">
        <v>35</v>
      </c>
    </row>
    <row r="32">
      <c r="A32" s="4" t="s">
        <v>58</v>
      </c>
      <c r="C32" s="4" t="s">
        <v>18</v>
      </c>
    </row>
    <row r="33">
      <c r="A33" s="4" t="s">
        <v>59</v>
      </c>
      <c r="C33" s="4" t="s">
        <v>61</v>
      </c>
    </row>
    <row r="34">
      <c r="A34" s="4" t="s">
        <v>63</v>
      </c>
      <c r="C34" s="4" t="s">
        <v>64</v>
      </c>
    </row>
    <row r="35">
      <c r="A35" s="4" t="s">
        <v>65</v>
      </c>
      <c r="C35" s="4" t="s">
        <v>66</v>
      </c>
    </row>
    <row r="36">
      <c r="A36" s="4" t="s">
        <v>65</v>
      </c>
      <c r="C36" s="4" t="s">
        <v>67</v>
      </c>
    </row>
    <row r="37">
      <c r="A37" s="4" t="s">
        <v>75</v>
      </c>
      <c r="C37" s="4" t="s">
        <v>77</v>
      </c>
    </row>
    <row r="38">
      <c r="A38" s="4" t="s">
        <v>79</v>
      </c>
      <c r="C38" s="4" t="s">
        <v>80</v>
      </c>
    </row>
    <row r="39">
      <c r="A39" s="4" t="s">
        <v>81</v>
      </c>
      <c r="C39" s="4" t="s">
        <v>82</v>
      </c>
    </row>
    <row r="40">
      <c r="A40" s="4" t="s">
        <v>83</v>
      </c>
      <c r="C40" s="4" t="s">
        <v>84</v>
      </c>
    </row>
    <row r="41">
      <c r="A41" s="4" t="s">
        <v>85</v>
      </c>
      <c r="C41" s="4" t="s">
        <v>86</v>
      </c>
    </row>
    <row r="42">
      <c r="A42" s="4" t="s">
        <v>87</v>
      </c>
      <c r="C42" s="4" t="s">
        <v>18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209</v>
      </c>
      <c r="C1" s="1" t="s">
        <v>152</v>
      </c>
      <c r="D1" s="5" t="s">
        <v>207</v>
      </c>
      <c r="E1" s="1" t="s">
        <v>154</v>
      </c>
      <c r="F1" s="1" t="s">
        <v>131</v>
      </c>
      <c r="G1" s="1" t="s">
        <v>155</v>
      </c>
      <c r="H1" s="1" t="s">
        <v>156</v>
      </c>
      <c r="I1" s="1" t="s">
        <v>157</v>
      </c>
      <c r="J1" s="5" t="s">
        <v>158</v>
      </c>
      <c r="K1" s="6" t="s">
        <v>210</v>
      </c>
      <c r="L1" s="6" t="s">
        <v>114</v>
      </c>
    </row>
    <row r="2">
      <c r="A2" s="4" t="s">
        <v>10</v>
      </c>
      <c r="C2" s="4" t="s">
        <v>12</v>
      </c>
      <c r="D2" s="4" t="s">
        <v>215</v>
      </c>
      <c r="E2" s="4">
        <v>0.327</v>
      </c>
      <c r="G2" s="4">
        <v>68.0</v>
      </c>
      <c r="H2" s="4">
        <v>14.1</v>
      </c>
      <c r="I2" s="4"/>
      <c r="J2" s="4"/>
      <c r="L2" s="4" t="s">
        <v>216</v>
      </c>
    </row>
    <row r="3">
      <c r="A3" s="4" t="s">
        <v>17</v>
      </c>
      <c r="C3" s="4" t="s">
        <v>18</v>
      </c>
      <c r="D3" s="4" t="s">
        <v>215</v>
      </c>
      <c r="G3" s="4">
        <v>68.0</v>
      </c>
    </row>
    <row r="4">
      <c r="A4" s="4" t="s">
        <v>19</v>
      </c>
      <c r="C4" s="4" t="s">
        <v>20</v>
      </c>
      <c r="D4" s="4" t="s">
        <v>215</v>
      </c>
      <c r="E4" s="4">
        <v>0.562</v>
      </c>
      <c r="G4" s="4">
        <v>68.0</v>
      </c>
      <c r="H4" s="4">
        <v>17.6</v>
      </c>
      <c r="I4" s="4"/>
      <c r="J4" s="4"/>
      <c r="L4" s="4" t="s">
        <v>216</v>
      </c>
    </row>
    <row r="5">
      <c r="A5" s="4" t="s">
        <v>21</v>
      </c>
      <c r="C5" s="4" t="s">
        <v>18</v>
      </c>
      <c r="D5" s="4" t="s">
        <v>215</v>
      </c>
      <c r="G5" s="4">
        <v>68.0</v>
      </c>
    </row>
    <row r="6">
      <c r="A6" s="4" t="s">
        <v>22</v>
      </c>
      <c r="C6" s="4" t="s">
        <v>12</v>
      </c>
    </row>
    <row r="7">
      <c r="A7" s="4" t="s">
        <v>25</v>
      </c>
      <c r="C7" s="4" t="s">
        <v>20</v>
      </c>
    </row>
    <row r="8">
      <c r="A8" s="4" t="s">
        <v>26</v>
      </c>
      <c r="C8" s="4" t="s">
        <v>18</v>
      </c>
    </row>
    <row r="9">
      <c r="A9" s="4" t="s">
        <v>27</v>
      </c>
      <c r="C9" s="4" t="s">
        <v>28</v>
      </c>
    </row>
    <row r="10">
      <c r="A10" s="4" t="s">
        <v>31</v>
      </c>
      <c r="C10" s="4" t="s">
        <v>32</v>
      </c>
    </row>
    <row r="11">
      <c r="A11" s="4" t="s">
        <v>34</v>
      </c>
      <c r="C11" s="4" t="s">
        <v>35</v>
      </c>
    </row>
    <row r="12">
      <c r="A12" s="4" t="s">
        <v>37</v>
      </c>
      <c r="C12" s="4" t="s">
        <v>18</v>
      </c>
    </row>
    <row r="13">
      <c r="A13" s="4" t="s">
        <v>38</v>
      </c>
      <c r="C13" s="4" t="s">
        <v>40</v>
      </c>
    </row>
    <row r="14">
      <c r="A14" s="4" t="s">
        <v>42</v>
      </c>
      <c r="C14" s="4" t="s">
        <v>43</v>
      </c>
    </row>
    <row r="15">
      <c r="A15" s="4" t="s">
        <v>44</v>
      </c>
      <c r="C15" s="4" t="s">
        <v>45</v>
      </c>
    </row>
    <row r="16">
      <c r="A16" s="4" t="s">
        <v>46</v>
      </c>
      <c r="C16" s="4" t="s">
        <v>18</v>
      </c>
    </row>
    <row r="17">
      <c r="A17" s="4" t="s">
        <v>47</v>
      </c>
      <c r="C17" s="4" t="s">
        <v>49</v>
      </c>
    </row>
    <row r="18">
      <c r="A18" s="4" t="s">
        <v>51</v>
      </c>
      <c r="C18" s="4" t="s">
        <v>18</v>
      </c>
    </row>
    <row r="19">
      <c r="A19" s="4" t="s">
        <v>52</v>
      </c>
      <c r="C19" s="4" t="s">
        <v>53</v>
      </c>
    </row>
    <row r="20">
      <c r="A20" s="4" t="s">
        <v>55</v>
      </c>
      <c r="C20" s="4" t="s">
        <v>28</v>
      </c>
    </row>
    <row r="21">
      <c r="A21" s="4" t="s">
        <v>56</v>
      </c>
      <c r="C21" s="4" t="s">
        <v>32</v>
      </c>
    </row>
    <row r="22">
      <c r="A22" s="4" t="s">
        <v>57</v>
      </c>
      <c r="C22" s="4" t="s">
        <v>35</v>
      </c>
    </row>
    <row r="23">
      <c r="A23" s="4" t="s">
        <v>58</v>
      </c>
      <c r="C23" s="4" t="s">
        <v>18</v>
      </c>
    </row>
    <row r="24">
      <c r="A24" s="4" t="s">
        <v>59</v>
      </c>
      <c r="C24" s="4" t="s">
        <v>61</v>
      </c>
    </row>
    <row r="25">
      <c r="A25" s="4" t="s">
        <v>63</v>
      </c>
      <c r="C25" s="4" t="s">
        <v>64</v>
      </c>
    </row>
    <row r="26">
      <c r="A26" s="4" t="s">
        <v>65</v>
      </c>
      <c r="C26" s="4" t="s">
        <v>66</v>
      </c>
    </row>
    <row r="27">
      <c r="A27" s="4" t="s">
        <v>65</v>
      </c>
      <c r="C27" s="4" t="s">
        <v>67</v>
      </c>
    </row>
    <row r="28">
      <c r="A28" s="4" t="s">
        <v>68</v>
      </c>
      <c r="C28" s="4" t="s">
        <v>61</v>
      </c>
    </row>
    <row r="29">
      <c r="A29" s="4" t="s">
        <v>71</v>
      </c>
      <c r="C29" s="4" t="s">
        <v>72</v>
      </c>
    </row>
    <row r="30">
      <c r="A30" s="4" t="s">
        <v>73</v>
      </c>
      <c r="C30" s="4" t="s">
        <v>66</v>
      </c>
    </row>
    <row r="31">
      <c r="A31" s="4" t="s">
        <v>74</v>
      </c>
      <c r="C31" s="4" t="s">
        <v>18</v>
      </c>
    </row>
    <row r="32">
      <c r="A32" s="4" t="s">
        <v>75</v>
      </c>
      <c r="C32" s="4" t="s">
        <v>77</v>
      </c>
    </row>
    <row r="33">
      <c r="A33" s="4" t="s">
        <v>79</v>
      </c>
      <c r="C33" s="4" t="s">
        <v>80</v>
      </c>
    </row>
    <row r="34">
      <c r="A34" s="4" t="s">
        <v>81</v>
      </c>
      <c r="C34" s="4" t="s">
        <v>82</v>
      </c>
    </row>
    <row r="35">
      <c r="A35" s="4" t="s">
        <v>83</v>
      </c>
      <c r="C35" s="4" t="s">
        <v>84</v>
      </c>
    </row>
    <row r="36">
      <c r="A36" s="4" t="s">
        <v>85</v>
      </c>
      <c r="C36" s="4" t="s">
        <v>86</v>
      </c>
    </row>
    <row r="37">
      <c r="A37" s="4" t="s">
        <v>87</v>
      </c>
      <c r="C37" s="4" t="s">
        <v>18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209</v>
      </c>
      <c r="C1" s="1" t="s">
        <v>152</v>
      </c>
      <c r="D1" s="5" t="s">
        <v>207</v>
      </c>
      <c r="E1" s="1" t="s">
        <v>154</v>
      </c>
      <c r="F1" s="1" t="s">
        <v>131</v>
      </c>
      <c r="G1" s="1" t="s">
        <v>155</v>
      </c>
      <c r="H1" s="1" t="s">
        <v>156</v>
      </c>
      <c r="I1" s="1" t="s">
        <v>157</v>
      </c>
      <c r="J1" s="5" t="s">
        <v>158</v>
      </c>
      <c r="K1" s="6" t="s">
        <v>210</v>
      </c>
      <c r="L1" s="6" t="s">
        <v>114</v>
      </c>
    </row>
    <row r="2">
      <c r="A2" s="4" t="s">
        <v>10</v>
      </c>
      <c r="C2" s="4" t="s">
        <v>12</v>
      </c>
      <c r="D2" s="4" t="s">
        <v>215</v>
      </c>
      <c r="E2" s="4">
        <v>0.027</v>
      </c>
      <c r="G2" s="4">
        <v>68.0</v>
      </c>
      <c r="H2" s="4">
        <v>0.882</v>
      </c>
      <c r="I2" s="4"/>
      <c r="J2" s="4"/>
      <c r="L2" s="4" t="s">
        <v>216</v>
      </c>
    </row>
    <row r="3">
      <c r="A3" s="4" t="s">
        <v>17</v>
      </c>
      <c r="C3" s="4" t="s">
        <v>18</v>
      </c>
      <c r="D3" s="4" t="s">
        <v>215</v>
      </c>
      <c r="G3" s="4">
        <v>68.0</v>
      </c>
    </row>
    <row r="4">
      <c r="A4" s="4" t="s">
        <v>19</v>
      </c>
      <c r="C4" s="4" t="s">
        <v>20</v>
      </c>
      <c r="D4" s="4" t="s">
        <v>215</v>
      </c>
      <c r="E4" s="4">
        <v>0.041</v>
      </c>
      <c r="G4" s="4">
        <v>68.0</v>
      </c>
      <c r="H4" s="4">
        <v>1.12</v>
      </c>
      <c r="I4" s="4"/>
      <c r="J4" s="4"/>
      <c r="L4" s="4" t="s">
        <v>216</v>
      </c>
    </row>
    <row r="5">
      <c r="A5" s="4" t="s">
        <v>21</v>
      </c>
      <c r="C5" s="4" t="s">
        <v>18</v>
      </c>
      <c r="D5" s="4" t="s">
        <v>215</v>
      </c>
      <c r="G5" s="4">
        <v>68.0</v>
      </c>
    </row>
    <row r="6">
      <c r="A6" s="4" t="s">
        <v>22</v>
      </c>
      <c r="C6" s="4" t="s">
        <v>12</v>
      </c>
    </row>
    <row r="7">
      <c r="A7" s="4" t="s">
        <v>25</v>
      </c>
      <c r="C7" s="4" t="s">
        <v>20</v>
      </c>
    </row>
    <row r="8">
      <c r="A8" s="4" t="s">
        <v>26</v>
      </c>
      <c r="C8" s="4" t="s">
        <v>18</v>
      </c>
    </row>
    <row r="9">
      <c r="A9" s="4" t="s">
        <v>27</v>
      </c>
      <c r="C9" s="4" t="s">
        <v>28</v>
      </c>
    </row>
    <row r="10">
      <c r="A10" s="4" t="s">
        <v>31</v>
      </c>
      <c r="C10" s="4" t="s">
        <v>32</v>
      </c>
    </row>
    <row r="11">
      <c r="A11" s="4" t="s">
        <v>34</v>
      </c>
      <c r="C11" s="4" t="s">
        <v>35</v>
      </c>
    </row>
    <row r="12">
      <c r="A12" s="4" t="s">
        <v>37</v>
      </c>
      <c r="C12" s="4" t="s">
        <v>18</v>
      </c>
    </row>
    <row r="13">
      <c r="A13" s="4" t="s">
        <v>38</v>
      </c>
      <c r="C13" s="4" t="s">
        <v>40</v>
      </c>
    </row>
    <row r="14">
      <c r="A14" s="4" t="s">
        <v>42</v>
      </c>
      <c r="C14" s="4" t="s">
        <v>43</v>
      </c>
    </row>
    <row r="15">
      <c r="A15" s="4" t="s">
        <v>44</v>
      </c>
      <c r="C15" s="4" t="s">
        <v>45</v>
      </c>
    </row>
    <row r="16">
      <c r="A16" s="4" t="s">
        <v>46</v>
      </c>
      <c r="C16" s="4" t="s">
        <v>18</v>
      </c>
    </row>
    <row r="17">
      <c r="A17" s="4" t="s">
        <v>47</v>
      </c>
      <c r="C17" s="4" t="s">
        <v>49</v>
      </c>
    </row>
    <row r="18">
      <c r="A18" s="4" t="s">
        <v>51</v>
      </c>
      <c r="C18" s="4" t="s">
        <v>18</v>
      </c>
    </row>
    <row r="19">
      <c r="A19" s="4" t="s">
        <v>52</v>
      </c>
      <c r="C19" s="4" t="s">
        <v>53</v>
      </c>
    </row>
    <row r="20">
      <c r="A20" s="4" t="s">
        <v>55</v>
      </c>
      <c r="C20" s="4" t="s">
        <v>28</v>
      </c>
    </row>
    <row r="21">
      <c r="A21" s="4" t="s">
        <v>56</v>
      </c>
      <c r="C21" s="4" t="s">
        <v>32</v>
      </c>
    </row>
    <row r="22">
      <c r="A22" s="4" t="s">
        <v>57</v>
      </c>
      <c r="C22" s="4" t="s">
        <v>35</v>
      </c>
    </row>
    <row r="23">
      <c r="A23" s="4" t="s">
        <v>58</v>
      </c>
      <c r="C23" s="4" t="s">
        <v>18</v>
      </c>
    </row>
    <row r="24">
      <c r="A24" s="4" t="s">
        <v>59</v>
      </c>
      <c r="C24" s="4" t="s">
        <v>61</v>
      </c>
    </row>
    <row r="25">
      <c r="A25" s="4" t="s">
        <v>63</v>
      </c>
      <c r="C25" s="4" t="s">
        <v>64</v>
      </c>
    </row>
    <row r="26">
      <c r="A26" s="4" t="s">
        <v>65</v>
      </c>
      <c r="C26" s="4" t="s">
        <v>66</v>
      </c>
    </row>
    <row r="27">
      <c r="A27" s="4" t="s">
        <v>65</v>
      </c>
      <c r="C27" s="4" t="s">
        <v>67</v>
      </c>
    </row>
    <row r="28">
      <c r="A28" s="4" t="s">
        <v>68</v>
      </c>
      <c r="C28" s="4" t="s">
        <v>61</v>
      </c>
    </row>
    <row r="29">
      <c r="A29" s="4" t="s">
        <v>71</v>
      </c>
      <c r="C29" s="4" t="s">
        <v>72</v>
      </c>
    </row>
    <row r="30">
      <c r="A30" s="4" t="s">
        <v>73</v>
      </c>
      <c r="C30" s="4" t="s">
        <v>66</v>
      </c>
    </row>
    <row r="31">
      <c r="A31" s="4" t="s">
        <v>74</v>
      </c>
      <c r="C31" s="4" t="s">
        <v>18</v>
      </c>
    </row>
    <row r="32">
      <c r="A32" s="4" t="s">
        <v>75</v>
      </c>
      <c r="C32" s="4" t="s">
        <v>77</v>
      </c>
    </row>
    <row r="33">
      <c r="A33" s="4" t="s">
        <v>79</v>
      </c>
      <c r="C33" s="4" t="s">
        <v>80</v>
      </c>
    </row>
    <row r="34">
      <c r="A34" s="4" t="s">
        <v>81</v>
      </c>
      <c r="C34" s="4" t="s">
        <v>82</v>
      </c>
    </row>
    <row r="35">
      <c r="A35" s="4" t="s">
        <v>83</v>
      </c>
      <c r="C35" s="4" t="s">
        <v>84</v>
      </c>
    </row>
    <row r="36">
      <c r="A36" s="4" t="s">
        <v>85</v>
      </c>
      <c r="C36" s="4" t="s">
        <v>86</v>
      </c>
    </row>
    <row r="37">
      <c r="A37" s="4" t="s">
        <v>87</v>
      </c>
      <c r="C37" s="4" t="s">
        <v>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209</v>
      </c>
      <c r="C1" s="1" t="s">
        <v>152</v>
      </c>
      <c r="D1" s="5" t="s">
        <v>207</v>
      </c>
      <c r="E1" s="1" t="s">
        <v>154</v>
      </c>
      <c r="F1" s="1" t="s">
        <v>131</v>
      </c>
      <c r="G1" s="1" t="s">
        <v>155</v>
      </c>
      <c r="H1" s="1" t="s">
        <v>156</v>
      </c>
      <c r="I1" s="1" t="s">
        <v>157</v>
      </c>
      <c r="J1" s="5" t="s">
        <v>158</v>
      </c>
      <c r="K1" s="6" t="s">
        <v>210</v>
      </c>
      <c r="L1" s="6" t="s">
        <v>114</v>
      </c>
    </row>
    <row r="2">
      <c r="A2" s="4" t="s">
        <v>10</v>
      </c>
      <c r="C2" s="4" t="s">
        <v>12</v>
      </c>
      <c r="D2" s="4" t="s">
        <v>211</v>
      </c>
      <c r="G2" s="4">
        <v>69.0</v>
      </c>
      <c r="H2" s="4">
        <v>74.9</v>
      </c>
      <c r="J2" s="4"/>
    </row>
    <row r="3">
      <c r="A3" s="4" t="s">
        <v>17</v>
      </c>
      <c r="C3" s="4" t="s">
        <v>18</v>
      </c>
      <c r="D3" s="4" t="s">
        <v>211</v>
      </c>
      <c r="G3" s="4">
        <v>69.0</v>
      </c>
      <c r="H3" s="4">
        <v>-52.11</v>
      </c>
      <c r="I3" s="4"/>
      <c r="J3" s="4"/>
    </row>
    <row r="4">
      <c r="A4" s="4" t="s">
        <v>19</v>
      </c>
      <c r="C4" s="4" t="s">
        <v>20</v>
      </c>
      <c r="D4" s="4" t="s">
        <v>211</v>
      </c>
      <c r="G4" s="4">
        <v>69.0</v>
      </c>
      <c r="H4" s="4">
        <v>7.86</v>
      </c>
      <c r="I4" s="4"/>
      <c r="J4" s="4"/>
    </row>
    <row r="5">
      <c r="A5" s="4" t="s">
        <v>21</v>
      </c>
      <c r="C5" s="4" t="s">
        <v>18</v>
      </c>
      <c r="D5" s="4" t="s">
        <v>211</v>
      </c>
      <c r="G5" s="4">
        <v>69.0</v>
      </c>
      <c r="H5" s="4">
        <v>-86.65</v>
      </c>
      <c r="I5" s="4"/>
      <c r="J5" s="4"/>
    </row>
    <row r="6">
      <c r="A6" s="4" t="s">
        <v>22</v>
      </c>
      <c r="C6" s="4" t="s">
        <v>12</v>
      </c>
      <c r="D6" s="4" t="s">
        <v>211</v>
      </c>
      <c r="G6" s="4">
        <v>104.0</v>
      </c>
      <c r="H6" s="4">
        <v>16.49</v>
      </c>
      <c r="I6" s="4" t="s">
        <v>170</v>
      </c>
      <c r="J6" s="4">
        <v>1.32</v>
      </c>
      <c r="L6" s="4" t="s">
        <v>217</v>
      </c>
    </row>
    <row r="7">
      <c r="A7" s="4" t="s">
        <v>25</v>
      </c>
      <c r="C7" s="4" t="s">
        <v>20</v>
      </c>
      <c r="D7" s="4" t="s">
        <v>211</v>
      </c>
      <c r="G7" s="4">
        <v>104.0</v>
      </c>
      <c r="H7" s="4">
        <v>33.51</v>
      </c>
      <c r="I7" s="4" t="s">
        <v>170</v>
      </c>
      <c r="J7" s="4">
        <v>1.37</v>
      </c>
      <c r="L7" s="4" t="s">
        <v>217</v>
      </c>
    </row>
    <row r="8">
      <c r="A8" s="4" t="s">
        <v>26</v>
      </c>
      <c r="C8" s="4" t="s">
        <v>18</v>
      </c>
      <c r="D8" s="4" t="s">
        <v>211</v>
      </c>
      <c r="G8" s="4">
        <v>104.0</v>
      </c>
      <c r="H8" s="4">
        <v>-0.84</v>
      </c>
      <c r="I8" s="4" t="s">
        <v>170</v>
      </c>
      <c r="J8" s="4">
        <v>1.36</v>
      </c>
      <c r="L8" s="4" t="s">
        <v>217</v>
      </c>
    </row>
    <row r="9">
      <c r="A9" s="4" t="s">
        <v>68</v>
      </c>
      <c r="B9" s="4" t="s">
        <v>105</v>
      </c>
      <c r="C9" s="4" t="s">
        <v>61</v>
      </c>
      <c r="D9" s="4" t="s">
        <v>211</v>
      </c>
    </row>
    <row r="10">
      <c r="A10" s="4" t="s">
        <v>68</v>
      </c>
      <c r="B10" s="4" t="s">
        <v>212</v>
      </c>
      <c r="C10" s="4" t="s">
        <v>61</v>
      </c>
      <c r="D10" s="4" t="s">
        <v>211</v>
      </c>
    </row>
    <row r="11">
      <c r="A11" s="4" t="s">
        <v>71</v>
      </c>
      <c r="C11" s="4" t="s">
        <v>72</v>
      </c>
      <c r="D11" s="4" t="s">
        <v>211</v>
      </c>
    </row>
    <row r="12">
      <c r="A12" s="4" t="s">
        <v>73</v>
      </c>
      <c r="C12" s="4" t="s">
        <v>66</v>
      </c>
      <c r="D12" s="4" t="s">
        <v>211</v>
      </c>
    </row>
    <row r="13">
      <c r="A13" s="4" t="s">
        <v>74</v>
      </c>
      <c r="C13" s="4" t="s">
        <v>18</v>
      </c>
      <c r="D13" s="4" t="s">
        <v>211</v>
      </c>
    </row>
    <row r="14">
      <c r="A14" s="4" t="s">
        <v>27</v>
      </c>
      <c r="C14" s="4" t="s">
        <v>28</v>
      </c>
    </row>
    <row r="15">
      <c r="A15" s="4" t="s">
        <v>31</v>
      </c>
      <c r="C15" s="4" t="s">
        <v>32</v>
      </c>
    </row>
    <row r="16">
      <c r="A16" s="4" t="s">
        <v>34</v>
      </c>
      <c r="C16" s="4" t="s">
        <v>35</v>
      </c>
    </row>
    <row r="17">
      <c r="A17" s="4" t="s">
        <v>37</v>
      </c>
      <c r="C17" s="4" t="s">
        <v>18</v>
      </c>
    </row>
    <row r="18">
      <c r="A18" s="4" t="s">
        <v>38</v>
      </c>
      <c r="C18" s="4" t="s">
        <v>40</v>
      </c>
    </row>
    <row r="19">
      <c r="A19" s="4" t="s">
        <v>42</v>
      </c>
      <c r="C19" s="4" t="s">
        <v>43</v>
      </c>
    </row>
    <row r="20">
      <c r="A20" s="4" t="s">
        <v>44</v>
      </c>
      <c r="C20" s="4" t="s">
        <v>45</v>
      </c>
    </row>
    <row r="21">
      <c r="A21" s="4" t="s">
        <v>46</v>
      </c>
      <c r="C21" s="4" t="s">
        <v>18</v>
      </c>
    </row>
    <row r="22">
      <c r="A22" s="4" t="s">
        <v>47</v>
      </c>
      <c r="C22" s="4" t="s">
        <v>49</v>
      </c>
    </row>
    <row r="23">
      <c r="A23" s="4" t="s">
        <v>51</v>
      </c>
      <c r="C23" s="4" t="s">
        <v>18</v>
      </c>
    </row>
    <row r="24">
      <c r="A24" s="4" t="s">
        <v>52</v>
      </c>
      <c r="C24" s="4" t="s">
        <v>53</v>
      </c>
    </row>
    <row r="25">
      <c r="A25" s="4" t="s">
        <v>55</v>
      </c>
      <c r="C25" s="4" t="s">
        <v>28</v>
      </c>
    </row>
    <row r="26">
      <c r="A26" s="4" t="s">
        <v>56</v>
      </c>
      <c r="C26" s="4" t="s">
        <v>32</v>
      </c>
    </row>
    <row r="27">
      <c r="A27" s="4" t="s">
        <v>57</v>
      </c>
      <c r="C27" s="4" t="s">
        <v>35</v>
      </c>
    </row>
    <row r="28">
      <c r="A28" s="4" t="s">
        <v>58</v>
      </c>
      <c r="C28" s="4" t="s">
        <v>18</v>
      </c>
    </row>
    <row r="29">
      <c r="A29" s="4" t="s">
        <v>59</v>
      </c>
      <c r="C29" s="4" t="s">
        <v>61</v>
      </c>
    </row>
    <row r="30">
      <c r="A30" s="4" t="s">
        <v>63</v>
      </c>
      <c r="C30" s="4" t="s">
        <v>64</v>
      </c>
    </row>
    <row r="31">
      <c r="A31" s="4" t="s">
        <v>65</v>
      </c>
      <c r="C31" s="4" t="s">
        <v>66</v>
      </c>
    </row>
    <row r="32">
      <c r="A32" s="4" t="s">
        <v>65</v>
      </c>
      <c r="C32" s="4" t="s">
        <v>67</v>
      </c>
    </row>
    <row r="33">
      <c r="A33" s="4" t="s">
        <v>75</v>
      </c>
      <c r="C33" s="4" t="s">
        <v>77</v>
      </c>
    </row>
    <row r="34">
      <c r="A34" s="4" t="s">
        <v>79</v>
      </c>
      <c r="C34" s="4" t="s">
        <v>80</v>
      </c>
    </row>
    <row r="35">
      <c r="A35" s="4" t="s">
        <v>81</v>
      </c>
      <c r="C35" s="4" t="s">
        <v>82</v>
      </c>
    </row>
    <row r="36">
      <c r="A36" s="4" t="s">
        <v>83</v>
      </c>
      <c r="C36" s="4" t="s">
        <v>84</v>
      </c>
    </row>
    <row r="37">
      <c r="A37" s="4" t="s">
        <v>85</v>
      </c>
      <c r="C37" s="4" t="s">
        <v>86</v>
      </c>
    </row>
    <row r="38">
      <c r="A38" s="4" t="s">
        <v>87</v>
      </c>
      <c r="C38" s="4" t="s">
        <v>18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0</v>
      </c>
      <c r="B1" s="2" t="s">
        <v>1</v>
      </c>
      <c r="C1" s="6" t="s">
        <v>152</v>
      </c>
      <c r="D1" s="6" t="s">
        <v>129</v>
      </c>
      <c r="E1" s="6" t="s">
        <v>139</v>
      </c>
      <c r="F1" s="6" t="s">
        <v>218</v>
      </c>
      <c r="G1" s="6" t="s">
        <v>219</v>
      </c>
      <c r="H1" s="6" t="s">
        <v>220</v>
      </c>
      <c r="I1" s="6" t="s">
        <v>221</v>
      </c>
      <c r="J1" s="6" t="s">
        <v>222</v>
      </c>
      <c r="K1" s="6" t="s">
        <v>223</v>
      </c>
      <c r="L1" s="6" t="s">
        <v>224</v>
      </c>
      <c r="M1" s="6" t="s">
        <v>225</v>
      </c>
    </row>
    <row r="2">
      <c r="A2" s="4" t="s">
        <v>10</v>
      </c>
      <c r="B2" s="4" t="s">
        <v>11</v>
      </c>
      <c r="C2" s="4" t="s">
        <v>12</v>
      </c>
      <c r="D2" s="4"/>
      <c r="E2" s="4">
        <v>26.0</v>
      </c>
      <c r="F2" s="4">
        <v>3.0</v>
      </c>
      <c r="G2" s="7">
        <f t="shared" ref="G2:G9" si="1">F2/E2</f>
        <v>0.1153846154</v>
      </c>
      <c r="H2" s="4">
        <v>0.0</v>
      </c>
      <c r="I2" s="4">
        <v>14.5</v>
      </c>
      <c r="J2" s="4">
        <v>0.0</v>
      </c>
      <c r="K2" s="4">
        <v>0.0</v>
      </c>
    </row>
    <row r="3">
      <c r="A3" s="4" t="s">
        <v>17</v>
      </c>
      <c r="B3" s="4" t="s">
        <v>11</v>
      </c>
      <c r="C3" s="4" t="s">
        <v>18</v>
      </c>
      <c r="D3" s="4"/>
      <c r="E3" s="4">
        <v>13.0</v>
      </c>
      <c r="F3" s="4">
        <v>1.0</v>
      </c>
      <c r="G3" s="7">
        <f t="shared" si="1"/>
        <v>0.07692307692</v>
      </c>
      <c r="H3" s="4">
        <v>0.0</v>
      </c>
      <c r="I3" s="4">
        <v>3.4</v>
      </c>
      <c r="J3" s="4">
        <v>0.0</v>
      </c>
      <c r="K3" s="4">
        <v>0.0</v>
      </c>
    </row>
    <row r="4">
      <c r="A4" s="4" t="s">
        <v>19</v>
      </c>
      <c r="B4" s="4" t="s">
        <v>11</v>
      </c>
      <c r="C4" s="4" t="s">
        <v>20</v>
      </c>
      <c r="D4" s="4"/>
      <c r="E4" s="4">
        <v>36.0</v>
      </c>
      <c r="F4" s="4">
        <v>6.0</v>
      </c>
      <c r="G4" s="7">
        <f t="shared" si="1"/>
        <v>0.1666666667</v>
      </c>
      <c r="H4" s="4">
        <v>0.0</v>
      </c>
      <c r="I4" s="4" t="s">
        <v>226</v>
      </c>
      <c r="J4" s="4">
        <v>5.0</v>
      </c>
      <c r="K4" s="4">
        <v>0.139</v>
      </c>
      <c r="L4" s="4"/>
      <c r="M4" s="4" t="s">
        <v>227</v>
      </c>
    </row>
    <row r="5">
      <c r="A5" s="4" t="s">
        <v>21</v>
      </c>
      <c r="B5" s="4" t="s">
        <v>11</v>
      </c>
      <c r="C5" s="4" t="s">
        <v>18</v>
      </c>
      <c r="D5" s="4"/>
      <c r="E5" s="4">
        <v>16.0</v>
      </c>
      <c r="F5" s="4">
        <v>3.0</v>
      </c>
      <c r="G5" s="7">
        <f t="shared" si="1"/>
        <v>0.1875</v>
      </c>
      <c r="H5" s="4">
        <v>0.0</v>
      </c>
      <c r="I5" s="4" t="s">
        <v>228</v>
      </c>
      <c r="J5" s="4">
        <v>0.0</v>
      </c>
      <c r="K5" s="4">
        <v>0.0</v>
      </c>
      <c r="M5" s="4" t="s">
        <v>227</v>
      </c>
    </row>
    <row r="6">
      <c r="A6" s="4" t="s">
        <v>22</v>
      </c>
      <c r="B6" s="4" t="s">
        <v>23</v>
      </c>
      <c r="C6" s="4" t="s">
        <v>12</v>
      </c>
      <c r="D6" s="4"/>
      <c r="E6" s="4">
        <v>126.0</v>
      </c>
      <c r="F6" s="4">
        <v>22.0</v>
      </c>
      <c r="G6" s="7">
        <f t="shared" si="1"/>
        <v>0.1746031746</v>
      </c>
      <c r="J6" s="4">
        <v>5.0</v>
      </c>
      <c r="K6" s="4">
        <v>0.04</v>
      </c>
    </row>
    <row r="7">
      <c r="A7" s="4" t="s">
        <v>25</v>
      </c>
      <c r="B7" s="4" t="s">
        <v>23</v>
      </c>
      <c r="C7" s="4" t="s">
        <v>20</v>
      </c>
      <c r="D7" s="4"/>
      <c r="E7" s="4">
        <v>116.0</v>
      </c>
      <c r="F7" s="4">
        <v>18.0</v>
      </c>
      <c r="G7" s="7">
        <f t="shared" si="1"/>
        <v>0.1551724138</v>
      </c>
      <c r="J7" s="4">
        <v>3.0</v>
      </c>
      <c r="K7" s="4">
        <v>0.026</v>
      </c>
    </row>
    <row r="8">
      <c r="A8" s="4" t="s">
        <v>26</v>
      </c>
      <c r="B8" s="4" t="s">
        <v>23</v>
      </c>
      <c r="C8" s="4" t="s">
        <v>18</v>
      </c>
      <c r="D8" s="4"/>
      <c r="E8" s="4">
        <v>118.0</v>
      </c>
      <c r="F8" s="4">
        <v>14.0</v>
      </c>
      <c r="G8" s="7">
        <f t="shared" si="1"/>
        <v>0.1186440678</v>
      </c>
      <c r="J8" s="4">
        <v>4.0</v>
      </c>
      <c r="K8" s="4">
        <v>0.034</v>
      </c>
      <c r="L8" s="4"/>
    </row>
    <row r="9">
      <c r="A9" s="4" t="s">
        <v>27</v>
      </c>
      <c r="C9" s="4" t="s">
        <v>28</v>
      </c>
      <c r="E9" s="4">
        <v>20.0</v>
      </c>
      <c r="F9" s="4">
        <v>4.0</v>
      </c>
      <c r="G9" s="7">
        <f t="shared" si="1"/>
        <v>0.2</v>
      </c>
      <c r="H9" s="4">
        <v>0.0</v>
      </c>
      <c r="M9" s="4" t="s">
        <v>229</v>
      </c>
    </row>
    <row r="10">
      <c r="A10" s="4" t="s">
        <v>31</v>
      </c>
      <c r="C10" s="4" t="s">
        <v>32</v>
      </c>
      <c r="E10" s="4" t="s">
        <v>230</v>
      </c>
      <c r="F10" s="4" t="s">
        <v>230</v>
      </c>
      <c r="G10" s="4" t="s">
        <v>230</v>
      </c>
      <c r="H10" s="4">
        <v>0.0</v>
      </c>
      <c r="M10" s="4" t="s">
        <v>229</v>
      </c>
    </row>
    <row r="11">
      <c r="A11" s="4" t="s">
        <v>34</v>
      </c>
      <c r="C11" s="4" t="s">
        <v>35</v>
      </c>
      <c r="E11" s="4">
        <v>8.0</v>
      </c>
      <c r="F11" s="4" t="s">
        <v>230</v>
      </c>
      <c r="G11" s="4" t="s">
        <v>230</v>
      </c>
      <c r="H11" s="4">
        <v>0.25</v>
      </c>
      <c r="M11" s="4" t="s">
        <v>231</v>
      </c>
    </row>
    <row r="12">
      <c r="A12" s="4" t="s">
        <v>37</v>
      </c>
      <c r="C12" s="4" t="s">
        <v>18</v>
      </c>
      <c r="E12" s="4">
        <v>8.0</v>
      </c>
      <c r="F12" s="4">
        <v>3.0</v>
      </c>
      <c r="G12" s="7">
        <f t="shared" ref="G12:G19" si="2">F12/E12</f>
        <v>0.375</v>
      </c>
      <c r="H12" s="4">
        <v>0.0</v>
      </c>
      <c r="M12" s="4" t="s">
        <v>229</v>
      </c>
    </row>
    <row r="13">
      <c r="A13" s="4" t="s">
        <v>38</v>
      </c>
      <c r="B13" s="4" t="s">
        <v>39</v>
      </c>
      <c r="C13" s="4" t="s">
        <v>40</v>
      </c>
      <c r="E13" s="4">
        <v>89.0</v>
      </c>
      <c r="F13" s="4">
        <v>17.0</v>
      </c>
      <c r="G13" s="7">
        <f t="shared" si="2"/>
        <v>0.191011236</v>
      </c>
      <c r="H13" s="4">
        <v>0.0</v>
      </c>
      <c r="I13" s="4">
        <v>3.4</v>
      </c>
      <c r="J13" s="4">
        <v>5.0</v>
      </c>
      <c r="K13" s="4">
        <v>0.056</v>
      </c>
      <c r="L13" s="4"/>
    </row>
    <row r="14">
      <c r="A14" s="4" t="s">
        <v>42</v>
      </c>
      <c r="B14" s="4" t="s">
        <v>39</v>
      </c>
      <c r="C14" s="4" t="s">
        <v>43</v>
      </c>
      <c r="E14" s="4">
        <v>132.0</v>
      </c>
      <c r="F14" s="4">
        <v>17.0</v>
      </c>
      <c r="G14" s="7">
        <f t="shared" si="2"/>
        <v>0.1287878788</v>
      </c>
      <c r="H14" s="4">
        <v>0.8</v>
      </c>
      <c r="I14" s="4">
        <v>4.5</v>
      </c>
      <c r="J14" s="4">
        <v>6.0</v>
      </c>
      <c r="K14" s="4">
        <v>0.045</v>
      </c>
      <c r="L14" s="4"/>
      <c r="M14" s="4" t="s">
        <v>232</v>
      </c>
    </row>
    <row r="15">
      <c r="A15" s="4" t="s">
        <v>44</v>
      </c>
      <c r="B15" s="4" t="s">
        <v>39</v>
      </c>
      <c r="C15" s="4" t="s">
        <v>45</v>
      </c>
      <c r="E15" s="4">
        <v>90.0</v>
      </c>
      <c r="F15" s="4">
        <v>16.0</v>
      </c>
      <c r="G15" s="7">
        <f t="shared" si="2"/>
        <v>0.1777777778</v>
      </c>
      <c r="H15" s="4">
        <v>0.0</v>
      </c>
      <c r="I15" s="4">
        <v>6.7</v>
      </c>
      <c r="J15" s="4">
        <v>3.0</v>
      </c>
      <c r="K15" s="4">
        <v>0.033</v>
      </c>
    </row>
    <row r="16">
      <c r="A16" s="4" t="s">
        <v>46</v>
      </c>
      <c r="B16" s="4" t="s">
        <v>39</v>
      </c>
      <c r="C16" s="4" t="s">
        <v>18</v>
      </c>
      <c r="E16" s="4">
        <v>130.0</v>
      </c>
      <c r="F16" s="4">
        <v>14.0</v>
      </c>
      <c r="G16" s="7">
        <f t="shared" si="2"/>
        <v>0.1076923077</v>
      </c>
      <c r="H16" s="4">
        <v>0.8</v>
      </c>
      <c r="I16" s="4">
        <v>4.6</v>
      </c>
      <c r="J16" s="4">
        <v>8.0</v>
      </c>
      <c r="K16" s="4">
        <v>0.062</v>
      </c>
      <c r="M16" s="4" t="s">
        <v>232</v>
      </c>
    </row>
    <row r="17">
      <c r="A17" s="4" t="s">
        <v>47</v>
      </c>
      <c r="B17" s="4" t="s">
        <v>48</v>
      </c>
      <c r="C17" s="4" t="s">
        <v>49</v>
      </c>
      <c r="E17" s="4">
        <v>135.0</v>
      </c>
      <c r="F17" s="4">
        <v>20.0</v>
      </c>
      <c r="G17" s="7">
        <f t="shared" si="2"/>
        <v>0.1481481481</v>
      </c>
      <c r="H17" s="4">
        <v>0.0</v>
      </c>
      <c r="J17" s="4">
        <v>6.0</v>
      </c>
      <c r="K17" s="4">
        <v>0.04</v>
      </c>
    </row>
    <row r="18">
      <c r="A18" s="4" t="s">
        <v>51</v>
      </c>
      <c r="B18" s="4" t="s">
        <v>48</v>
      </c>
      <c r="C18" s="4" t="s">
        <v>18</v>
      </c>
      <c r="E18" s="4">
        <v>132.0</v>
      </c>
      <c r="F18" s="4">
        <v>23.0</v>
      </c>
      <c r="G18" s="7">
        <f t="shared" si="2"/>
        <v>0.1742424242</v>
      </c>
      <c r="H18" s="4">
        <v>0.0</v>
      </c>
      <c r="J18" s="4">
        <v>5.0</v>
      </c>
      <c r="K18" s="4">
        <v>0.038</v>
      </c>
      <c r="M18" s="4" t="s">
        <v>233</v>
      </c>
    </row>
    <row r="19">
      <c r="A19" s="4" t="s">
        <v>52</v>
      </c>
      <c r="C19" s="4" t="s">
        <v>53</v>
      </c>
      <c r="E19" s="4">
        <v>124.0</v>
      </c>
      <c r="F19" s="4">
        <v>37.0</v>
      </c>
      <c r="G19" s="7">
        <f t="shared" si="2"/>
        <v>0.2983870968</v>
      </c>
      <c r="H19" s="4">
        <v>9.7</v>
      </c>
      <c r="J19" s="4">
        <v>12.0</v>
      </c>
      <c r="K19" s="4">
        <v>0.097</v>
      </c>
    </row>
    <row r="20">
      <c r="A20" s="4" t="s">
        <v>55</v>
      </c>
      <c r="C20" s="4" t="s">
        <v>28</v>
      </c>
      <c r="E20" s="4" t="s">
        <v>230</v>
      </c>
      <c r="F20" s="4" t="s">
        <v>230</v>
      </c>
      <c r="G20" s="4" t="s">
        <v>230</v>
      </c>
      <c r="H20" s="4" t="s">
        <v>230</v>
      </c>
      <c r="J20" s="4" t="s">
        <v>230</v>
      </c>
      <c r="K20" s="4" t="s">
        <v>230</v>
      </c>
    </row>
    <row r="21">
      <c r="A21" s="4" t="s">
        <v>56</v>
      </c>
      <c r="C21" s="4" t="s">
        <v>32</v>
      </c>
      <c r="E21" s="4" t="s">
        <v>230</v>
      </c>
      <c r="F21" s="4" t="s">
        <v>230</v>
      </c>
      <c r="G21" s="4" t="s">
        <v>230</v>
      </c>
      <c r="H21" s="4" t="s">
        <v>230</v>
      </c>
      <c r="J21" s="4" t="s">
        <v>230</v>
      </c>
      <c r="K21" s="4" t="s">
        <v>230</v>
      </c>
    </row>
    <row r="22">
      <c r="A22" s="4" t="s">
        <v>57</v>
      </c>
      <c r="C22" s="4" t="s">
        <v>35</v>
      </c>
      <c r="E22" s="4" t="s">
        <v>230</v>
      </c>
      <c r="F22" s="4" t="s">
        <v>230</v>
      </c>
      <c r="G22" s="4" t="s">
        <v>230</v>
      </c>
      <c r="H22" s="4" t="s">
        <v>230</v>
      </c>
      <c r="J22" s="4" t="s">
        <v>230</v>
      </c>
      <c r="K22" s="4" t="s">
        <v>230</v>
      </c>
    </row>
    <row r="23">
      <c r="A23" s="4" t="s">
        <v>58</v>
      </c>
      <c r="C23" s="4" t="s">
        <v>18</v>
      </c>
      <c r="E23" s="4">
        <v>110.0</v>
      </c>
      <c r="F23" s="4">
        <v>22.0</v>
      </c>
      <c r="G23" s="7">
        <f t="shared" ref="G23:G37" si="3">F23/E23</f>
        <v>0.2</v>
      </c>
      <c r="H23" s="4">
        <v>0.0</v>
      </c>
      <c r="J23" s="4">
        <v>0.0</v>
      </c>
      <c r="K23" s="4">
        <v>0.0</v>
      </c>
    </row>
    <row r="24">
      <c r="A24" s="4" t="s">
        <v>59</v>
      </c>
      <c r="B24" s="4" t="s">
        <v>60</v>
      </c>
      <c r="C24" s="4" t="s">
        <v>61</v>
      </c>
      <c r="D24" s="4"/>
      <c r="E24" s="4">
        <v>122.0</v>
      </c>
      <c r="F24" s="4">
        <v>16.0</v>
      </c>
      <c r="G24" s="7">
        <f t="shared" si="3"/>
        <v>0.131147541</v>
      </c>
      <c r="H24" s="4">
        <v>0.0</v>
      </c>
      <c r="I24" s="4">
        <v>10.3</v>
      </c>
      <c r="J24" s="4">
        <v>10.0</v>
      </c>
      <c r="K24" s="4">
        <v>0.042</v>
      </c>
      <c r="M24" s="4" t="s">
        <v>234</v>
      </c>
    </row>
    <row r="25">
      <c r="A25" s="4" t="s">
        <v>63</v>
      </c>
      <c r="B25" s="4" t="s">
        <v>60</v>
      </c>
      <c r="C25" s="4" t="s">
        <v>64</v>
      </c>
      <c r="D25" s="4"/>
      <c r="E25" s="4">
        <v>62.0</v>
      </c>
      <c r="F25" s="4">
        <v>6.0</v>
      </c>
      <c r="G25" s="7">
        <f t="shared" si="3"/>
        <v>0.09677419355</v>
      </c>
      <c r="H25" s="4">
        <v>0.0</v>
      </c>
      <c r="I25" s="4">
        <v>14.6</v>
      </c>
      <c r="J25" s="4">
        <v>6.0</v>
      </c>
      <c r="K25" s="4">
        <v>0.033</v>
      </c>
      <c r="M25" s="4" t="s">
        <v>234</v>
      </c>
    </row>
    <row r="26">
      <c r="A26" s="4" t="s">
        <v>65</v>
      </c>
      <c r="B26" s="4" t="s">
        <v>60</v>
      </c>
      <c r="C26" s="4" t="s">
        <v>66</v>
      </c>
      <c r="D26" s="4"/>
      <c r="E26" s="4">
        <v>165.0</v>
      </c>
      <c r="F26" s="4">
        <v>32.0</v>
      </c>
      <c r="G26" s="7">
        <f t="shared" si="3"/>
        <v>0.1939393939</v>
      </c>
      <c r="H26" s="4">
        <v>3.125</v>
      </c>
      <c r="I26" s="4" t="s">
        <v>226</v>
      </c>
      <c r="J26" s="4" t="s">
        <v>235</v>
      </c>
      <c r="K26" s="4" t="s">
        <v>235</v>
      </c>
      <c r="M26" s="4" t="s">
        <v>236</v>
      </c>
    </row>
    <row r="27">
      <c r="A27" s="4" t="s">
        <v>65</v>
      </c>
      <c r="B27" s="4" t="s">
        <v>60</v>
      </c>
      <c r="C27" s="4" t="s">
        <v>67</v>
      </c>
      <c r="D27" s="4"/>
      <c r="E27" s="4">
        <v>82.0</v>
      </c>
      <c r="F27" s="4">
        <v>11.0</v>
      </c>
      <c r="G27" s="7">
        <f t="shared" si="3"/>
        <v>0.1341463415</v>
      </c>
      <c r="H27" s="4">
        <v>0.0</v>
      </c>
      <c r="I27" s="4" t="s">
        <v>228</v>
      </c>
      <c r="J27" s="4" t="s">
        <v>237</v>
      </c>
      <c r="K27" s="4" t="s">
        <v>237</v>
      </c>
      <c r="M27" s="4" t="s">
        <v>234</v>
      </c>
    </row>
    <row r="28">
      <c r="A28" s="4" t="s">
        <v>68</v>
      </c>
      <c r="B28" s="4" t="s">
        <v>69</v>
      </c>
      <c r="C28" s="4" t="s">
        <v>61</v>
      </c>
      <c r="D28" s="4" t="s">
        <v>238</v>
      </c>
      <c r="E28" s="4">
        <v>116.0</v>
      </c>
      <c r="F28" s="4">
        <v>12.0</v>
      </c>
      <c r="G28" s="7">
        <f t="shared" si="3"/>
        <v>0.1034482759</v>
      </c>
      <c r="I28" s="4">
        <v>5.0</v>
      </c>
      <c r="J28" s="4">
        <v>6.0</v>
      </c>
      <c r="K28" s="4">
        <v>0.052</v>
      </c>
    </row>
    <row r="29">
      <c r="A29" s="4" t="s">
        <v>71</v>
      </c>
      <c r="B29" s="4" t="s">
        <v>69</v>
      </c>
      <c r="C29" s="4" t="s">
        <v>72</v>
      </c>
      <c r="E29" s="4">
        <v>106.0</v>
      </c>
      <c r="F29" s="4">
        <v>13.0</v>
      </c>
      <c r="G29" s="7">
        <f t="shared" si="3"/>
        <v>0.1226415094</v>
      </c>
      <c r="I29" s="4" t="s">
        <v>226</v>
      </c>
      <c r="J29" s="4">
        <v>0.0</v>
      </c>
      <c r="K29" s="4">
        <v>0.0</v>
      </c>
    </row>
    <row r="30">
      <c r="A30" s="4" t="s">
        <v>73</v>
      </c>
      <c r="B30" s="4" t="s">
        <v>69</v>
      </c>
      <c r="C30" s="4" t="s">
        <v>66</v>
      </c>
      <c r="E30" s="4">
        <v>214.0</v>
      </c>
      <c r="F30" s="4">
        <v>25.0</v>
      </c>
      <c r="G30" s="7">
        <f t="shared" si="3"/>
        <v>0.1168224299</v>
      </c>
      <c r="I30" s="4" t="s">
        <v>226</v>
      </c>
      <c r="J30" s="4">
        <v>8.0</v>
      </c>
      <c r="K30" s="4">
        <v>0.037</v>
      </c>
    </row>
    <row r="31">
      <c r="A31" s="4" t="s">
        <v>74</v>
      </c>
      <c r="B31" s="4" t="s">
        <v>69</v>
      </c>
      <c r="C31" s="4" t="s">
        <v>18</v>
      </c>
      <c r="E31" s="4">
        <v>214.0</v>
      </c>
      <c r="F31" s="4">
        <v>26.0</v>
      </c>
      <c r="G31" s="7">
        <f t="shared" si="3"/>
        <v>0.1214953271</v>
      </c>
      <c r="I31" s="4">
        <v>11.4</v>
      </c>
      <c r="J31" s="4">
        <v>11.0</v>
      </c>
      <c r="K31" s="4">
        <v>0.051</v>
      </c>
    </row>
    <row r="32">
      <c r="A32" s="4" t="s">
        <v>75</v>
      </c>
      <c r="B32" s="4" t="s">
        <v>76</v>
      </c>
      <c r="C32" s="4" t="s">
        <v>77</v>
      </c>
      <c r="E32" s="4">
        <v>52.0</v>
      </c>
      <c r="F32" s="4">
        <v>10.0</v>
      </c>
      <c r="G32" s="7">
        <f t="shared" si="3"/>
        <v>0.1923076923</v>
      </c>
      <c r="H32" s="4">
        <v>1.9</v>
      </c>
      <c r="I32" s="4">
        <v>3.8</v>
      </c>
      <c r="J32" s="4">
        <v>7.0</v>
      </c>
      <c r="K32" s="4">
        <v>0.135</v>
      </c>
      <c r="M32" s="4" t="s">
        <v>239</v>
      </c>
    </row>
    <row r="33">
      <c r="A33" s="4" t="s">
        <v>79</v>
      </c>
      <c r="B33" s="4" t="s">
        <v>76</v>
      </c>
      <c r="C33" s="4" t="s">
        <v>80</v>
      </c>
      <c r="E33" s="4">
        <v>51.0</v>
      </c>
      <c r="F33" s="4">
        <v>4.0</v>
      </c>
      <c r="G33" s="7">
        <f t="shared" si="3"/>
        <v>0.07843137255</v>
      </c>
      <c r="H33" s="4">
        <v>2.0</v>
      </c>
      <c r="I33" s="4">
        <v>13.7</v>
      </c>
      <c r="J33" s="4">
        <v>4.0</v>
      </c>
      <c r="K33" s="4">
        <v>0.078</v>
      </c>
    </row>
    <row r="34">
      <c r="A34" s="4" t="s">
        <v>81</v>
      </c>
      <c r="B34" s="4" t="s">
        <v>76</v>
      </c>
      <c r="C34" s="4" t="s">
        <v>82</v>
      </c>
      <c r="E34" s="4">
        <v>92.0</v>
      </c>
      <c r="F34" s="4">
        <v>16.0</v>
      </c>
      <c r="G34" s="7">
        <f t="shared" si="3"/>
        <v>0.1739130435</v>
      </c>
      <c r="H34" s="4">
        <v>3.3</v>
      </c>
      <c r="I34" s="4">
        <v>18.5</v>
      </c>
      <c r="J34" s="4">
        <v>10.0</v>
      </c>
      <c r="K34" s="4">
        <v>0.109</v>
      </c>
    </row>
    <row r="35">
      <c r="A35" s="4" t="s">
        <v>83</v>
      </c>
      <c r="B35" s="4" t="s">
        <v>76</v>
      </c>
      <c r="C35" s="4" t="s">
        <v>84</v>
      </c>
      <c r="E35" s="4">
        <v>253.0</v>
      </c>
      <c r="F35" s="4">
        <v>31.0</v>
      </c>
      <c r="G35" s="7">
        <f t="shared" si="3"/>
        <v>0.1225296443</v>
      </c>
      <c r="H35" s="4">
        <v>9.9</v>
      </c>
      <c r="I35" s="4">
        <v>11.1</v>
      </c>
      <c r="J35" s="4">
        <v>47.0</v>
      </c>
      <c r="K35" s="4">
        <v>0.186</v>
      </c>
      <c r="M35" s="4" t="s">
        <v>240</v>
      </c>
    </row>
    <row r="36">
      <c r="A36" s="4" t="s">
        <v>85</v>
      </c>
      <c r="B36" s="4" t="s">
        <v>76</v>
      </c>
      <c r="C36" s="4" t="s">
        <v>86</v>
      </c>
      <c r="E36" s="4">
        <v>161.0</v>
      </c>
      <c r="F36" s="4">
        <v>25.0</v>
      </c>
      <c r="G36" s="7">
        <f t="shared" si="3"/>
        <v>0.1552795031</v>
      </c>
      <c r="H36" s="4">
        <v>9.9</v>
      </c>
      <c r="I36" s="4">
        <v>6.8</v>
      </c>
      <c r="J36" s="4">
        <v>24.0</v>
      </c>
      <c r="K36" s="4">
        <v>0.149</v>
      </c>
      <c r="M36" s="4" t="s">
        <v>241</v>
      </c>
    </row>
    <row r="37">
      <c r="A37" s="4" t="s">
        <v>87</v>
      </c>
      <c r="B37" s="4" t="s">
        <v>76</v>
      </c>
      <c r="C37" s="4" t="s">
        <v>18</v>
      </c>
      <c r="E37" s="4">
        <v>245.0</v>
      </c>
      <c r="F37" s="4">
        <v>43.0</v>
      </c>
      <c r="G37" s="7">
        <f t="shared" si="3"/>
        <v>0.1755102041</v>
      </c>
      <c r="H37" s="4">
        <v>0.8</v>
      </c>
      <c r="I37" s="4">
        <v>5.3</v>
      </c>
      <c r="J37" s="4">
        <v>15.0</v>
      </c>
      <c r="K37" s="4">
        <v>0.061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0</v>
      </c>
      <c r="B1" s="6" t="s">
        <v>242</v>
      </c>
      <c r="C1" s="6" t="s">
        <v>243</v>
      </c>
      <c r="D1" s="6" t="s">
        <v>244</v>
      </c>
      <c r="E1" s="6" t="s">
        <v>245</v>
      </c>
      <c r="F1" s="6" t="s">
        <v>246</v>
      </c>
      <c r="G1" s="6" t="s">
        <v>247</v>
      </c>
      <c r="H1" s="6" t="s">
        <v>248</v>
      </c>
      <c r="I1" s="6" t="s">
        <v>249</v>
      </c>
      <c r="J1" s="6" t="s">
        <v>250</v>
      </c>
      <c r="K1" s="6" t="s">
        <v>158</v>
      </c>
      <c r="L1" s="6" t="s">
        <v>251</v>
      </c>
      <c r="M1" s="6" t="s">
        <v>252</v>
      </c>
      <c r="N1" s="6" t="s">
        <v>253</v>
      </c>
      <c r="O1" s="6" t="s">
        <v>114</v>
      </c>
      <c r="P1" s="8"/>
      <c r="Q1" s="8"/>
      <c r="R1" s="8"/>
      <c r="S1" s="8"/>
      <c r="T1" s="8"/>
      <c r="U1" s="8"/>
      <c r="V1" s="8"/>
      <c r="W1" s="8"/>
      <c r="X1" s="8"/>
      <c r="Y1" s="8"/>
      <c r="Z1" s="8"/>
      <c r="AA1" s="8"/>
      <c r="AB1" s="8"/>
      <c r="AC1" s="8"/>
      <c r="AD1" s="8"/>
    </row>
    <row r="2">
      <c r="A2" s="4" t="s">
        <v>254</v>
      </c>
      <c r="B2" s="4" t="s">
        <v>255</v>
      </c>
      <c r="C2" s="4" t="s">
        <v>36</v>
      </c>
      <c r="D2" s="4" t="s">
        <v>160</v>
      </c>
      <c r="E2" s="4" t="s">
        <v>256</v>
      </c>
      <c r="F2" s="4" t="s">
        <v>257</v>
      </c>
      <c r="I2" s="4" t="s">
        <v>258</v>
      </c>
      <c r="J2" s="4" t="s">
        <v>259</v>
      </c>
      <c r="K2" s="4" t="s">
        <v>260</v>
      </c>
      <c r="N2" s="4" t="s">
        <v>16</v>
      </c>
    </row>
    <row r="3">
      <c r="A3" s="4" t="s">
        <v>254</v>
      </c>
      <c r="B3" s="4" t="s">
        <v>261</v>
      </c>
      <c r="C3" s="4" t="s">
        <v>36</v>
      </c>
      <c r="D3" s="4" t="s">
        <v>262</v>
      </c>
      <c r="E3" s="4" t="s">
        <v>256</v>
      </c>
      <c r="F3" s="4" t="s">
        <v>263</v>
      </c>
      <c r="I3" s="4" t="s">
        <v>258</v>
      </c>
      <c r="J3" s="4" t="s">
        <v>259</v>
      </c>
      <c r="K3" s="4" t="s">
        <v>260</v>
      </c>
      <c r="N3" s="4" t="s">
        <v>16</v>
      </c>
    </row>
    <row r="4">
      <c r="A4" s="4" t="s">
        <v>254</v>
      </c>
      <c r="B4" s="4" t="s">
        <v>264</v>
      </c>
      <c r="C4" s="4" t="s">
        <v>36</v>
      </c>
      <c r="D4" s="4" t="s">
        <v>160</v>
      </c>
      <c r="E4" s="4" t="s">
        <v>256</v>
      </c>
      <c r="F4" s="4" t="s">
        <v>257</v>
      </c>
      <c r="I4" s="4" t="s">
        <v>258</v>
      </c>
      <c r="J4" s="4" t="s">
        <v>259</v>
      </c>
      <c r="K4" s="4" t="s">
        <v>260</v>
      </c>
      <c r="L4" s="4">
        <v>90.0</v>
      </c>
      <c r="M4" s="4" t="s">
        <v>265</v>
      </c>
      <c r="N4" s="4" t="s">
        <v>16</v>
      </c>
      <c r="O4" s="4" t="s">
        <v>266</v>
      </c>
    </row>
    <row r="5">
      <c r="A5" s="4" t="s">
        <v>254</v>
      </c>
      <c r="B5" s="4" t="s">
        <v>267</v>
      </c>
      <c r="C5" s="4" t="s">
        <v>16</v>
      </c>
      <c r="D5" s="4" t="s">
        <v>160</v>
      </c>
      <c r="E5" s="4" t="s">
        <v>256</v>
      </c>
      <c r="F5" s="4" t="s">
        <v>257</v>
      </c>
      <c r="I5" s="4" t="s">
        <v>258</v>
      </c>
      <c r="J5" s="4" t="s">
        <v>259</v>
      </c>
      <c r="K5" s="4" t="s">
        <v>260</v>
      </c>
      <c r="N5" s="4" t="s">
        <v>16</v>
      </c>
    </row>
    <row r="6">
      <c r="A6" s="4" t="s">
        <v>254</v>
      </c>
      <c r="B6" s="4" t="s">
        <v>268</v>
      </c>
      <c r="C6" s="4" t="s">
        <v>16</v>
      </c>
      <c r="D6" s="4" t="s">
        <v>262</v>
      </c>
      <c r="E6" s="4" t="s">
        <v>256</v>
      </c>
      <c r="F6" s="4" t="s">
        <v>263</v>
      </c>
      <c r="I6" s="4" t="s">
        <v>258</v>
      </c>
      <c r="J6" s="4" t="s">
        <v>259</v>
      </c>
      <c r="K6" s="4" t="s">
        <v>260</v>
      </c>
      <c r="N6" s="4" t="s">
        <v>16</v>
      </c>
    </row>
    <row r="7">
      <c r="A7" s="4" t="s">
        <v>254</v>
      </c>
      <c r="B7" s="4" t="s">
        <v>269</v>
      </c>
      <c r="C7" s="4" t="s">
        <v>16</v>
      </c>
      <c r="D7" s="4" t="s">
        <v>262</v>
      </c>
      <c r="E7" s="4" t="s">
        <v>256</v>
      </c>
      <c r="F7" s="4" t="s">
        <v>263</v>
      </c>
      <c r="I7" s="4" t="s">
        <v>258</v>
      </c>
      <c r="J7" s="4" t="s">
        <v>259</v>
      </c>
      <c r="K7" s="4" t="s">
        <v>260</v>
      </c>
      <c r="N7" s="4" t="s">
        <v>16</v>
      </c>
    </row>
    <row r="8">
      <c r="A8" s="4" t="s">
        <v>270</v>
      </c>
      <c r="B8" s="4" t="s">
        <v>271</v>
      </c>
      <c r="C8" s="4" t="s">
        <v>16</v>
      </c>
      <c r="D8" s="4" t="s">
        <v>272</v>
      </c>
      <c r="E8" s="4" t="s">
        <v>256</v>
      </c>
      <c r="I8" s="4" t="s">
        <v>273</v>
      </c>
      <c r="J8" s="4" t="s">
        <v>274</v>
      </c>
      <c r="K8" s="4" t="s">
        <v>275</v>
      </c>
      <c r="M8" s="4" t="s">
        <v>276</v>
      </c>
      <c r="N8" s="4" t="s">
        <v>36</v>
      </c>
      <c r="O8" s="4" t="s">
        <v>277</v>
      </c>
    </row>
    <row r="9">
      <c r="A9" s="4" t="s">
        <v>270</v>
      </c>
      <c r="B9" s="4" t="s">
        <v>255</v>
      </c>
      <c r="C9" s="4" t="s">
        <v>36</v>
      </c>
      <c r="D9" s="4" t="s">
        <v>160</v>
      </c>
      <c r="E9" s="4" t="s">
        <v>256</v>
      </c>
      <c r="F9" s="4" t="s">
        <v>278</v>
      </c>
      <c r="I9" s="4" t="s">
        <v>258</v>
      </c>
      <c r="J9" s="4" t="s">
        <v>279</v>
      </c>
      <c r="K9" s="4" t="s">
        <v>260</v>
      </c>
      <c r="N9" s="4" t="s">
        <v>16</v>
      </c>
      <c r="O9" s="4" t="s">
        <v>280</v>
      </c>
    </row>
    <row r="10">
      <c r="A10" s="4" t="s">
        <v>270</v>
      </c>
      <c r="B10" s="9" t="s">
        <v>281</v>
      </c>
      <c r="C10" s="4" t="s">
        <v>16</v>
      </c>
      <c r="D10" s="4" t="s">
        <v>160</v>
      </c>
      <c r="E10" s="4" t="s">
        <v>256</v>
      </c>
      <c r="F10" s="4" t="s">
        <v>278</v>
      </c>
      <c r="I10" s="4" t="s">
        <v>258</v>
      </c>
      <c r="J10" s="4" t="s">
        <v>279</v>
      </c>
      <c r="K10" s="4" t="s">
        <v>260</v>
      </c>
      <c r="N10" s="4" t="s">
        <v>16</v>
      </c>
    </row>
    <row r="11">
      <c r="A11" s="4" t="s">
        <v>270</v>
      </c>
      <c r="B11" s="4" t="s">
        <v>267</v>
      </c>
      <c r="C11" s="4" t="s">
        <v>16</v>
      </c>
      <c r="D11" s="4" t="s">
        <v>160</v>
      </c>
      <c r="E11" s="4" t="s">
        <v>256</v>
      </c>
      <c r="F11" s="4" t="s">
        <v>278</v>
      </c>
      <c r="I11" s="4" t="s">
        <v>258</v>
      </c>
      <c r="J11" s="4" t="s">
        <v>279</v>
      </c>
      <c r="K11" s="4" t="s">
        <v>260</v>
      </c>
      <c r="N11" s="4" t="s">
        <v>16</v>
      </c>
    </row>
    <row r="12">
      <c r="A12" s="4" t="s">
        <v>270</v>
      </c>
      <c r="B12" s="4" t="s">
        <v>282</v>
      </c>
      <c r="C12" s="4" t="s">
        <v>36</v>
      </c>
      <c r="D12" s="4" t="s">
        <v>160</v>
      </c>
      <c r="E12" s="4" t="s">
        <v>256</v>
      </c>
      <c r="F12" s="4" t="s">
        <v>278</v>
      </c>
      <c r="I12" s="4" t="s">
        <v>258</v>
      </c>
      <c r="J12" s="4" t="s">
        <v>279</v>
      </c>
      <c r="K12" s="4" t="s">
        <v>260</v>
      </c>
      <c r="N12" s="4" t="s">
        <v>16</v>
      </c>
    </row>
    <row r="13">
      <c r="A13" s="4" t="s">
        <v>270</v>
      </c>
      <c r="B13" s="4" t="s">
        <v>283</v>
      </c>
      <c r="C13" s="4" t="s">
        <v>16</v>
      </c>
      <c r="D13" s="4" t="s">
        <v>160</v>
      </c>
      <c r="E13" s="4" t="s">
        <v>256</v>
      </c>
      <c r="F13" s="4" t="s">
        <v>278</v>
      </c>
      <c r="I13" s="4" t="s">
        <v>258</v>
      </c>
      <c r="J13" s="4" t="s">
        <v>279</v>
      </c>
      <c r="K13" s="4" t="s">
        <v>260</v>
      </c>
      <c r="N13" s="4" t="s">
        <v>16</v>
      </c>
      <c r="O13" s="4" t="s">
        <v>284</v>
      </c>
    </row>
    <row r="14">
      <c r="A14" s="4" t="s">
        <v>285</v>
      </c>
      <c r="B14" s="4" t="s">
        <v>286</v>
      </c>
      <c r="C14" s="4" t="s">
        <v>36</v>
      </c>
      <c r="D14" s="4" t="s">
        <v>160</v>
      </c>
      <c r="E14" s="4" t="s">
        <v>256</v>
      </c>
      <c r="F14" s="4" t="s">
        <v>287</v>
      </c>
      <c r="H14" s="4" t="s">
        <v>288</v>
      </c>
      <c r="I14" s="4" t="s">
        <v>258</v>
      </c>
      <c r="J14" s="4" t="s">
        <v>274</v>
      </c>
      <c r="K14" s="4" t="s">
        <v>289</v>
      </c>
      <c r="L14" s="4" t="s">
        <v>290</v>
      </c>
      <c r="M14" s="4" t="s">
        <v>291</v>
      </c>
      <c r="N14" s="4" t="s">
        <v>36</v>
      </c>
    </row>
    <row r="15">
      <c r="A15" s="4" t="s">
        <v>285</v>
      </c>
      <c r="B15" s="4" t="s">
        <v>255</v>
      </c>
      <c r="C15" s="4" t="s">
        <v>36</v>
      </c>
      <c r="D15" s="4" t="s">
        <v>160</v>
      </c>
      <c r="E15" s="4" t="s">
        <v>256</v>
      </c>
      <c r="F15" s="4" t="s">
        <v>287</v>
      </c>
      <c r="I15" s="4" t="s">
        <v>258</v>
      </c>
      <c r="J15" s="4" t="s">
        <v>274</v>
      </c>
      <c r="K15" s="4" t="s">
        <v>289</v>
      </c>
      <c r="N15" s="4" t="s">
        <v>16</v>
      </c>
    </row>
    <row r="16">
      <c r="A16" s="4" t="s">
        <v>285</v>
      </c>
      <c r="B16" s="4" t="s">
        <v>282</v>
      </c>
      <c r="C16" s="4" t="s">
        <v>36</v>
      </c>
      <c r="D16" s="4" t="s">
        <v>160</v>
      </c>
      <c r="E16" s="4" t="s">
        <v>256</v>
      </c>
      <c r="F16" s="4" t="s">
        <v>287</v>
      </c>
      <c r="I16" s="4" t="s">
        <v>258</v>
      </c>
      <c r="J16" s="4" t="s">
        <v>274</v>
      </c>
      <c r="K16" s="4" t="s">
        <v>289</v>
      </c>
      <c r="N16" s="4" t="s">
        <v>16</v>
      </c>
    </row>
    <row r="17">
      <c r="A17" s="4" t="s">
        <v>285</v>
      </c>
      <c r="B17" s="4" t="s">
        <v>292</v>
      </c>
      <c r="C17" s="4" t="s">
        <v>36</v>
      </c>
      <c r="D17" s="4" t="s">
        <v>160</v>
      </c>
      <c r="E17" s="4" t="s">
        <v>256</v>
      </c>
      <c r="F17" s="4" t="s">
        <v>287</v>
      </c>
      <c r="I17" s="4" t="s">
        <v>258</v>
      </c>
      <c r="J17" s="4" t="s">
        <v>274</v>
      </c>
      <c r="K17" s="4" t="s">
        <v>289</v>
      </c>
      <c r="N17" s="4" t="s">
        <v>16</v>
      </c>
    </row>
    <row r="18">
      <c r="A18" s="4" t="s">
        <v>285</v>
      </c>
      <c r="B18" s="4" t="s">
        <v>264</v>
      </c>
      <c r="C18" s="4" t="s">
        <v>36</v>
      </c>
      <c r="D18" s="4" t="s">
        <v>262</v>
      </c>
      <c r="E18" s="4" t="s">
        <v>256</v>
      </c>
      <c r="F18" s="4" t="s">
        <v>293</v>
      </c>
      <c r="I18" s="4" t="s">
        <v>258</v>
      </c>
      <c r="J18" s="4" t="s">
        <v>274</v>
      </c>
      <c r="K18" s="4" t="s">
        <v>289</v>
      </c>
      <c r="N18" s="4" t="s">
        <v>16</v>
      </c>
    </row>
    <row r="19">
      <c r="A19" s="4" t="s">
        <v>285</v>
      </c>
      <c r="B19" s="4" t="s">
        <v>261</v>
      </c>
      <c r="C19" s="4" t="s">
        <v>36</v>
      </c>
      <c r="D19" s="4" t="s">
        <v>262</v>
      </c>
      <c r="E19" s="4" t="s">
        <v>256</v>
      </c>
      <c r="F19" s="4" t="s">
        <v>293</v>
      </c>
      <c r="I19" s="4" t="s">
        <v>258</v>
      </c>
      <c r="J19" s="4" t="s">
        <v>274</v>
      </c>
      <c r="K19" s="4" t="s">
        <v>289</v>
      </c>
      <c r="N19" s="4" t="s">
        <v>16</v>
      </c>
    </row>
    <row r="20">
      <c r="A20" s="4" t="s">
        <v>285</v>
      </c>
      <c r="B20" s="4" t="s">
        <v>268</v>
      </c>
      <c r="C20" s="4" t="s">
        <v>16</v>
      </c>
      <c r="D20" s="4" t="s">
        <v>262</v>
      </c>
      <c r="E20" s="4" t="s">
        <v>256</v>
      </c>
      <c r="F20" s="4" t="s">
        <v>293</v>
      </c>
      <c r="I20" s="4" t="s">
        <v>258</v>
      </c>
      <c r="J20" s="4" t="s">
        <v>274</v>
      </c>
      <c r="K20" s="4" t="s">
        <v>289</v>
      </c>
      <c r="N20" s="4" t="s">
        <v>16</v>
      </c>
    </row>
    <row r="21">
      <c r="A21" s="4" t="s">
        <v>285</v>
      </c>
      <c r="B21" s="4" t="s">
        <v>269</v>
      </c>
      <c r="C21" s="4" t="s">
        <v>16</v>
      </c>
      <c r="D21" s="4" t="s">
        <v>262</v>
      </c>
      <c r="E21" s="4" t="s">
        <v>256</v>
      </c>
      <c r="F21" s="4" t="s">
        <v>293</v>
      </c>
      <c r="I21" s="4" t="s">
        <v>258</v>
      </c>
      <c r="J21" s="4" t="s">
        <v>274</v>
      </c>
      <c r="K21" s="4" t="s">
        <v>289</v>
      </c>
      <c r="N21" s="4" t="s">
        <v>16</v>
      </c>
    </row>
    <row r="22">
      <c r="A22" s="4" t="s">
        <v>294</v>
      </c>
      <c r="B22" s="4" t="s">
        <v>267</v>
      </c>
      <c r="C22" s="4" t="s">
        <v>16</v>
      </c>
      <c r="D22" s="4" t="s">
        <v>160</v>
      </c>
      <c r="E22" s="4" t="s">
        <v>256</v>
      </c>
      <c r="F22" s="4" t="s">
        <v>295</v>
      </c>
      <c r="H22" s="4" t="s">
        <v>296</v>
      </c>
      <c r="I22" s="4" t="s">
        <v>258</v>
      </c>
      <c r="J22" s="4" t="s">
        <v>274</v>
      </c>
      <c r="K22" s="4" t="s">
        <v>289</v>
      </c>
      <c r="L22" s="4">
        <v>80.0</v>
      </c>
      <c r="M22" s="4" t="s">
        <v>297</v>
      </c>
      <c r="N22" s="4" t="s">
        <v>36</v>
      </c>
      <c r="O22" s="4" t="s">
        <v>298</v>
      </c>
    </row>
    <row r="23">
      <c r="A23" s="4" t="s">
        <v>294</v>
      </c>
      <c r="B23" s="4" t="s">
        <v>299</v>
      </c>
      <c r="C23" s="4" t="s">
        <v>36</v>
      </c>
      <c r="D23" s="4" t="s">
        <v>160</v>
      </c>
      <c r="E23" s="4" t="s">
        <v>300</v>
      </c>
      <c r="F23" s="4" t="s">
        <v>295</v>
      </c>
      <c r="H23" s="4" t="s">
        <v>296</v>
      </c>
      <c r="I23" s="4" t="s">
        <v>273</v>
      </c>
      <c r="J23" s="4" t="s">
        <v>274</v>
      </c>
      <c r="K23" s="4" t="s">
        <v>289</v>
      </c>
      <c r="N23" s="4" t="s">
        <v>299</v>
      </c>
    </row>
    <row r="24">
      <c r="A24" s="4" t="s">
        <v>294</v>
      </c>
      <c r="B24" s="4" t="s">
        <v>255</v>
      </c>
      <c r="C24" s="4" t="s">
        <v>36</v>
      </c>
      <c r="D24" s="4" t="s">
        <v>160</v>
      </c>
      <c r="E24" s="4" t="s">
        <v>256</v>
      </c>
      <c r="F24" s="4" t="s">
        <v>295</v>
      </c>
      <c r="H24" s="4" t="s">
        <v>296</v>
      </c>
      <c r="I24" s="4" t="s">
        <v>258</v>
      </c>
      <c r="J24" s="4" t="s">
        <v>274</v>
      </c>
      <c r="K24" s="4" t="s">
        <v>289</v>
      </c>
      <c r="N24" s="4" t="s">
        <v>16</v>
      </c>
    </row>
    <row r="25">
      <c r="A25" s="4" t="s">
        <v>294</v>
      </c>
      <c r="B25" s="4" t="s">
        <v>301</v>
      </c>
      <c r="C25" s="4" t="s">
        <v>16</v>
      </c>
      <c r="D25" s="4" t="s">
        <v>160</v>
      </c>
      <c r="E25" s="4" t="s">
        <v>256</v>
      </c>
      <c r="F25" s="4" t="s">
        <v>295</v>
      </c>
      <c r="H25" s="4" t="s">
        <v>296</v>
      </c>
      <c r="I25" s="4" t="s">
        <v>258</v>
      </c>
      <c r="J25" s="4" t="s">
        <v>274</v>
      </c>
      <c r="K25" s="4" t="s">
        <v>289</v>
      </c>
      <c r="N25" s="4" t="s">
        <v>16</v>
      </c>
    </row>
    <row r="26">
      <c r="A26" s="4" t="s">
        <v>294</v>
      </c>
      <c r="B26" s="4" t="s">
        <v>302</v>
      </c>
      <c r="C26" s="4" t="s">
        <v>16</v>
      </c>
      <c r="D26" s="4" t="s">
        <v>160</v>
      </c>
      <c r="E26" s="4" t="s">
        <v>256</v>
      </c>
      <c r="F26" s="4" t="s">
        <v>295</v>
      </c>
      <c r="H26" s="4" t="s">
        <v>296</v>
      </c>
      <c r="I26" s="4" t="s">
        <v>258</v>
      </c>
      <c r="J26" s="4" t="s">
        <v>274</v>
      </c>
      <c r="K26" s="4" t="s">
        <v>289</v>
      </c>
      <c r="N26" s="4" t="s">
        <v>16</v>
      </c>
    </row>
    <row r="27">
      <c r="A27" s="4" t="s">
        <v>294</v>
      </c>
      <c r="B27" s="4" t="s">
        <v>303</v>
      </c>
      <c r="C27" s="4" t="s">
        <v>16</v>
      </c>
      <c r="D27" s="4" t="s">
        <v>160</v>
      </c>
      <c r="E27" s="4" t="s">
        <v>256</v>
      </c>
      <c r="F27" s="4" t="s">
        <v>295</v>
      </c>
      <c r="H27" s="4" t="s">
        <v>296</v>
      </c>
      <c r="I27" s="4" t="s">
        <v>258</v>
      </c>
      <c r="J27" s="4" t="s">
        <v>274</v>
      </c>
      <c r="K27" s="4" t="s">
        <v>289</v>
      </c>
      <c r="N27" s="4" t="s">
        <v>16</v>
      </c>
    </row>
    <row r="28">
      <c r="A28" s="4" t="s">
        <v>304</v>
      </c>
      <c r="B28" s="4" t="s">
        <v>255</v>
      </c>
      <c r="C28" s="4" t="s">
        <v>36</v>
      </c>
      <c r="D28" s="4" t="s">
        <v>160</v>
      </c>
      <c r="E28" s="4" t="s">
        <v>256</v>
      </c>
      <c r="F28" s="4" t="s">
        <v>305</v>
      </c>
      <c r="H28" s="4" t="s">
        <v>296</v>
      </c>
      <c r="I28" s="4" t="s">
        <v>258</v>
      </c>
      <c r="J28" s="4" t="s">
        <v>274</v>
      </c>
      <c r="K28" s="4" t="s">
        <v>289</v>
      </c>
      <c r="L28" s="4">
        <v>80.0</v>
      </c>
      <c r="M28" s="4" t="s">
        <v>306</v>
      </c>
      <c r="N28" s="4" t="s">
        <v>36</v>
      </c>
      <c r="O28" s="4" t="s">
        <v>307</v>
      </c>
    </row>
    <row r="29">
      <c r="A29" s="4" t="s">
        <v>304</v>
      </c>
      <c r="B29" s="4" t="s">
        <v>302</v>
      </c>
      <c r="C29" s="4" t="s">
        <v>16</v>
      </c>
      <c r="D29" s="4" t="s">
        <v>160</v>
      </c>
      <c r="E29" s="4" t="s">
        <v>256</v>
      </c>
      <c r="F29" s="4" t="s">
        <v>305</v>
      </c>
      <c r="H29" s="4" t="s">
        <v>296</v>
      </c>
      <c r="I29" s="4" t="s">
        <v>258</v>
      </c>
      <c r="J29" s="4" t="s">
        <v>274</v>
      </c>
      <c r="K29" s="4" t="s">
        <v>289</v>
      </c>
      <c r="N29" s="4" t="s">
        <v>16</v>
      </c>
    </row>
    <row r="30">
      <c r="A30" s="4" t="s">
        <v>304</v>
      </c>
      <c r="B30" s="4" t="s">
        <v>282</v>
      </c>
      <c r="C30" s="4" t="s">
        <v>36</v>
      </c>
      <c r="D30" s="4" t="s">
        <v>160</v>
      </c>
      <c r="E30" s="4" t="s">
        <v>256</v>
      </c>
      <c r="F30" s="4" t="s">
        <v>305</v>
      </c>
      <c r="H30" s="4" t="s">
        <v>296</v>
      </c>
      <c r="I30" s="4" t="s">
        <v>258</v>
      </c>
      <c r="J30" s="4" t="s">
        <v>274</v>
      </c>
      <c r="K30" s="4" t="s">
        <v>289</v>
      </c>
      <c r="N30" s="4" t="s">
        <v>16</v>
      </c>
    </row>
    <row r="31">
      <c r="A31" s="4" t="s">
        <v>304</v>
      </c>
      <c r="B31" s="4" t="s">
        <v>267</v>
      </c>
      <c r="C31" s="4" t="s">
        <v>16</v>
      </c>
      <c r="D31" s="4" t="s">
        <v>160</v>
      </c>
      <c r="E31" s="4" t="s">
        <v>256</v>
      </c>
      <c r="F31" s="4" t="s">
        <v>305</v>
      </c>
      <c r="H31" s="4" t="s">
        <v>296</v>
      </c>
      <c r="I31" s="4" t="s">
        <v>258</v>
      </c>
      <c r="J31" s="4" t="s">
        <v>274</v>
      </c>
      <c r="K31" s="4" t="s">
        <v>289</v>
      </c>
      <c r="N31" s="4" t="s">
        <v>16</v>
      </c>
    </row>
    <row r="32">
      <c r="A32" s="4" t="s">
        <v>308</v>
      </c>
      <c r="B32" s="4" t="s">
        <v>255</v>
      </c>
      <c r="C32" s="4" t="s">
        <v>36</v>
      </c>
      <c r="D32" s="4" t="s">
        <v>309</v>
      </c>
      <c r="E32" s="4" t="s">
        <v>256</v>
      </c>
      <c r="F32" s="4" t="s">
        <v>310</v>
      </c>
      <c r="I32" s="4" t="s">
        <v>258</v>
      </c>
      <c r="J32" s="4" t="s">
        <v>274</v>
      </c>
      <c r="K32" s="4" t="s">
        <v>311</v>
      </c>
      <c r="N32" s="4" t="s">
        <v>16</v>
      </c>
    </row>
    <row r="33">
      <c r="A33" s="4" t="s">
        <v>308</v>
      </c>
      <c r="B33" s="4" t="s">
        <v>312</v>
      </c>
      <c r="C33" s="4" t="s">
        <v>16</v>
      </c>
      <c r="D33" s="4" t="s">
        <v>309</v>
      </c>
      <c r="E33" s="4" t="s">
        <v>256</v>
      </c>
      <c r="F33" s="4" t="s">
        <v>310</v>
      </c>
      <c r="I33" s="4" t="s">
        <v>258</v>
      </c>
      <c r="J33" s="4" t="s">
        <v>274</v>
      </c>
      <c r="K33" s="4" t="s">
        <v>311</v>
      </c>
      <c r="N33" s="4" t="s">
        <v>16</v>
      </c>
    </row>
    <row r="34">
      <c r="A34" s="4" t="s">
        <v>308</v>
      </c>
      <c r="B34" s="4" t="s">
        <v>282</v>
      </c>
      <c r="C34" s="4" t="s">
        <v>36</v>
      </c>
      <c r="D34" s="4" t="s">
        <v>309</v>
      </c>
      <c r="E34" s="4" t="s">
        <v>256</v>
      </c>
      <c r="F34" s="4" t="s">
        <v>313</v>
      </c>
      <c r="I34" s="4" t="s">
        <v>258</v>
      </c>
      <c r="J34" s="4" t="s">
        <v>274</v>
      </c>
      <c r="K34" s="4" t="s">
        <v>289</v>
      </c>
      <c r="N34" s="4" t="s">
        <v>16</v>
      </c>
    </row>
    <row r="35">
      <c r="A35" s="4" t="s">
        <v>308</v>
      </c>
      <c r="B35" s="4" t="s">
        <v>314</v>
      </c>
      <c r="C35" s="4" t="s">
        <v>36</v>
      </c>
      <c r="D35" s="4" t="s">
        <v>309</v>
      </c>
      <c r="E35" s="4" t="s">
        <v>256</v>
      </c>
      <c r="F35" s="4" t="s">
        <v>313</v>
      </c>
      <c r="I35" s="4" t="s">
        <v>258</v>
      </c>
      <c r="J35" s="4" t="s">
        <v>274</v>
      </c>
      <c r="K35" s="4" t="s">
        <v>289</v>
      </c>
      <c r="N35" s="4" t="s">
        <v>16</v>
      </c>
    </row>
    <row r="36">
      <c r="A36" s="4" t="s">
        <v>308</v>
      </c>
      <c r="B36" s="4" t="s">
        <v>315</v>
      </c>
      <c r="C36" s="4" t="s">
        <v>36</v>
      </c>
      <c r="D36" s="4" t="s">
        <v>309</v>
      </c>
      <c r="E36" s="4" t="s">
        <v>256</v>
      </c>
      <c r="F36" s="4" t="s">
        <v>313</v>
      </c>
      <c r="I36" s="4" t="s">
        <v>258</v>
      </c>
      <c r="J36" s="4" t="s">
        <v>274</v>
      </c>
      <c r="K36" s="4" t="s">
        <v>289</v>
      </c>
      <c r="N36" s="4" t="s">
        <v>16</v>
      </c>
    </row>
    <row r="37">
      <c r="A37" s="4" t="s">
        <v>316</v>
      </c>
      <c r="B37" s="4" t="s">
        <v>255</v>
      </c>
      <c r="C37" s="4" t="s">
        <v>36</v>
      </c>
      <c r="D37" s="4" t="s">
        <v>160</v>
      </c>
      <c r="E37" s="4" t="s">
        <v>256</v>
      </c>
      <c r="F37" s="4" t="s">
        <v>317</v>
      </c>
      <c r="H37" s="4" t="s">
        <v>296</v>
      </c>
      <c r="I37" s="4" t="s">
        <v>258</v>
      </c>
      <c r="J37" s="4" t="s">
        <v>274</v>
      </c>
      <c r="K37" s="4" t="s">
        <v>311</v>
      </c>
      <c r="L37" s="4">
        <v>80.0</v>
      </c>
      <c r="M37" s="4" t="s">
        <v>318</v>
      </c>
      <c r="O37" s="4" t="s">
        <v>307</v>
      </c>
    </row>
    <row r="38">
      <c r="A38" s="4" t="s">
        <v>316</v>
      </c>
      <c r="B38" s="4" t="s">
        <v>267</v>
      </c>
      <c r="C38" s="4" t="s">
        <v>16</v>
      </c>
      <c r="D38" s="4" t="s">
        <v>160</v>
      </c>
      <c r="E38" s="4" t="s">
        <v>256</v>
      </c>
      <c r="F38" s="4" t="s">
        <v>317</v>
      </c>
      <c r="H38" s="4" t="s">
        <v>296</v>
      </c>
      <c r="I38" s="4" t="s">
        <v>258</v>
      </c>
      <c r="J38" s="4" t="s">
        <v>274</v>
      </c>
      <c r="K38" s="4" t="s">
        <v>311</v>
      </c>
      <c r="L38" s="4">
        <v>80.0</v>
      </c>
      <c r="M38" s="4" t="s">
        <v>319</v>
      </c>
      <c r="O38" s="4" t="s">
        <v>307</v>
      </c>
    </row>
    <row r="39">
      <c r="A39" s="4" t="s">
        <v>316</v>
      </c>
      <c r="B39" s="4" t="s">
        <v>302</v>
      </c>
      <c r="C39" s="4" t="s">
        <v>16</v>
      </c>
      <c r="D39" s="4" t="s">
        <v>160</v>
      </c>
      <c r="E39" s="4" t="s">
        <v>256</v>
      </c>
      <c r="F39" s="4" t="s">
        <v>317</v>
      </c>
      <c r="H39" s="4" t="s">
        <v>296</v>
      </c>
      <c r="I39" s="4" t="s">
        <v>258</v>
      </c>
      <c r="J39" s="4" t="s">
        <v>274</v>
      </c>
      <c r="K39" s="4" t="s">
        <v>311</v>
      </c>
      <c r="N39" s="4" t="s">
        <v>16</v>
      </c>
      <c r="O39" s="4" t="s">
        <v>320</v>
      </c>
    </row>
    <row r="40">
      <c r="A40" s="4" t="s">
        <v>321</v>
      </c>
      <c r="B40" s="4" t="s">
        <v>322</v>
      </c>
      <c r="C40" s="4" t="s">
        <v>36</v>
      </c>
      <c r="E40" s="4" t="s">
        <v>323</v>
      </c>
      <c r="H40" s="4" t="s">
        <v>296</v>
      </c>
      <c r="J40" s="4" t="s">
        <v>324</v>
      </c>
      <c r="N40" s="4" t="s">
        <v>16</v>
      </c>
    </row>
    <row r="41">
      <c r="A41" s="4" t="s">
        <v>321</v>
      </c>
      <c r="B41" s="4" t="s">
        <v>267</v>
      </c>
      <c r="C41" s="4" t="s">
        <v>16</v>
      </c>
      <c r="D41" s="4" t="s">
        <v>160</v>
      </c>
      <c r="E41" s="4" t="s">
        <v>256</v>
      </c>
      <c r="F41" s="4" t="s">
        <v>325</v>
      </c>
      <c r="H41" s="4" t="s">
        <v>296</v>
      </c>
      <c r="I41" s="4" t="s">
        <v>258</v>
      </c>
      <c r="J41" s="4" t="s">
        <v>324</v>
      </c>
      <c r="K41" s="4" t="s">
        <v>311</v>
      </c>
      <c r="L41" s="4">
        <v>80.0</v>
      </c>
      <c r="M41" s="4" t="s">
        <v>326</v>
      </c>
      <c r="N41" s="4" t="s">
        <v>36</v>
      </c>
    </row>
    <row r="42">
      <c r="A42" s="4" t="s">
        <v>321</v>
      </c>
      <c r="B42" s="4" t="s">
        <v>327</v>
      </c>
      <c r="C42" s="4" t="s">
        <v>36</v>
      </c>
      <c r="E42" s="4" t="s">
        <v>328</v>
      </c>
      <c r="H42" s="4" t="s">
        <v>296</v>
      </c>
      <c r="I42" s="4" t="s">
        <v>329</v>
      </c>
      <c r="J42" s="4" t="s">
        <v>324</v>
      </c>
      <c r="N42" s="4" t="s">
        <v>16</v>
      </c>
    </row>
    <row r="43">
      <c r="A43" s="4" t="s">
        <v>321</v>
      </c>
      <c r="B43" s="4" t="s">
        <v>255</v>
      </c>
      <c r="C43" s="4" t="s">
        <v>36</v>
      </c>
      <c r="D43" s="4" t="s">
        <v>160</v>
      </c>
      <c r="E43" s="4" t="s">
        <v>256</v>
      </c>
      <c r="F43" s="4" t="s">
        <v>325</v>
      </c>
      <c r="G43" s="4" t="s">
        <v>330</v>
      </c>
      <c r="I43" s="4" t="s">
        <v>258</v>
      </c>
      <c r="J43" s="4" t="s">
        <v>324</v>
      </c>
      <c r="K43" s="4" t="s">
        <v>260</v>
      </c>
      <c r="N43" s="4" t="s">
        <v>16</v>
      </c>
    </row>
    <row r="44">
      <c r="A44" s="4" t="s">
        <v>321</v>
      </c>
      <c r="B44" s="4" t="s">
        <v>282</v>
      </c>
      <c r="C44" s="4" t="s">
        <v>36</v>
      </c>
      <c r="D44" s="4" t="s">
        <v>160</v>
      </c>
      <c r="E44" s="4" t="s">
        <v>256</v>
      </c>
      <c r="F44" s="4" t="s">
        <v>325</v>
      </c>
      <c r="G44" s="4" t="s">
        <v>330</v>
      </c>
      <c r="I44" s="4" t="s">
        <v>258</v>
      </c>
      <c r="J44" s="4" t="s">
        <v>324</v>
      </c>
      <c r="K44" s="4" t="s">
        <v>260</v>
      </c>
      <c r="N44" s="4" t="s">
        <v>16</v>
      </c>
    </row>
    <row r="45">
      <c r="A45" s="4" t="s">
        <v>321</v>
      </c>
      <c r="B45" s="4" t="s">
        <v>315</v>
      </c>
      <c r="C45" s="4" t="s">
        <v>36</v>
      </c>
      <c r="D45" s="4" t="s">
        <v>160</v>
      </c>
      <c r="E45" s="4" t="s">
        <v>256</v>
      </c>
      <c r="F45" s="4" t="s">
        <v>325</v>
      </c>
      <c r="G45" s="4" t="s">
        <v>330</v>
      </c>
      <c r="I45" s="4" t="s">
        <v>258</v>
      </c>
      <c r="J45" s="4" t="s">
        <v>324</v>
      </c>
      <c r="K45" s="4" t="s">
        <v>260</v>
      </c>
      <c r="N45" s="4" t="s">
        <v>16</v>
      </c>
    </row>
    <row r="46">
      <c r="A46" s="4" t="s">
        <v>321</v>
      </c>
      <c r="B46" s="4" t="s">
        <v>292</v>
      </c>
      <c r="C46" s="4" t="s">
        <v>36</v>
      </c>
      <c r="D46" s="4" t="s">
        <v>160</v>
      </c>
      <c r="E46" s="4" t="s">
        <v>256</v>
      </c>
      <c r="F46" s="4" t="s">
        <v>331</v>
      </c>
      <c r="G46" s="4" t="s">
        <v>330</v>
      </c>
      <c r="I46" s="4" t="s">
        <v>258</v>
      </c>
      <c r="J46" s="4" t="s">
        <v>324</v>
      </c>
      <c r="K46" s="4" t="s">
        <v>260</v>
      </c>
      <c r="N46" s="4" t="s">
        <v>16</v>
      </c>
    </row>
    <row r="47">
      <c r="A47" s="4" t="s">
        <v>321</v>
      </c>
      <c r="B47" s="4" t="s">
        <v>332</v>
      </c>
      <c r="C47" s="4" t="s">
        <v>36</v>
      </c>
      <c r="D47" s="4" t="s">
        <v>160</v>
      </c>
      <c r="E47" s="4" t="s">
        <v>256</v>
      </c>
      <c r="F47" s="4" t="s">
        <v>331</v>
      </c>
      <c r="G47" s="4" t="s">
        <v>330</v>
      </c>
      <c r="I47" s="4" t="s">
        <v>258</v>
      </c>
      <c r="J47" s="4" t="s">
        <v>324</v>
      </c>
      <c r="K47" s="4" t="s">
        <v>260</v>
      </c>
      <c r="N47" s="4" t="s">
        <v>16</v>
      </c>
    </row>
    <row r="48">
      <c r="A48" s="4" t="s">
        <v>333</v>
      </c>
      <c r="B48" s="4" t="s">
        <v>334</v>
      </c>
      <c r="C48" s="4" t="s">
        <v>36</v>
      </c>
      <c r="D48" s="4" t="s">
        <v>160</v>
      </c>
      <c r="E48" s="4" t="s">
        <v>256</v>
      </c>
      <c r="F48" s="4" t="s">
        <v>335</v>
      </c>
      <c r="H48" s="4" t="s">
        <v>296</v>
      </c>
      <c r="I48" s="4" t="s">
        <v>258</v>
      </c>
      <c r="J48" s="4" t="s">
        <v>274</v>
      </c>
      <c r="K48" s="4" t="s">
        <v>311</v>
      </c>
      <c r="N48" s="4" t="s">
        <v>16</v>
      </c>
      <c r="O48" s="4" t="s">
        <v>336</v>
      </c>
    </row>
    <row r="49">
      <c r="A49" s="4" t="s">
        <v>333</v>
      </c>
      <c r="B49" s="4" t="s">
        <v>337</v>
      </c>
      <c r="C49" s="4" t="s">
        <v>16</v>
      </c>
      <c r="D49" s="4" t="s">
        <v>160</v>
      </c>
      <c r="E49" s="4" t="s">
        <v>256</v>
      </c>
      <c r="F49" s="4" t="s">
        <v>335</v>
      </c>
      <c r="H49" s="4" t="s">
        <v>296</v>
      </c>
      <c r="I49" s="4" t="s">
        <v>258</v>
      </c>
      <c r="J49" s="4" t="s">
        <v>274</v>
      </c>
      <c r="K49" s="4" t="s">
        <v>311</v>
      </c>
      <c r="N49" s="4" t="s">
        <v>16</v>
      </c>
    </row>
    <row r="50">
      <c r="A50" s="4" t="s">
        <v>333</v>
      </c>
      <c r="B50" s="4" t="s">
        <v>267</v>
      </c>
      <c r="C50" s="4" t="s">
        <v>16</v>
      </c>
      <c r="D50" s="4" t="s">
        <v>160</v>
      </c>
      <c r="E50" s="4" t="s">
        <v>256</v>
      </c>
      <c r="F50" s="4" t="s">
        <v>335</v>
      </c>
      <c r="H50" s="4" t="s">
        <v>296</v>
      </c>
      <c r="I50" s="4" t="s">
        <v>258</v>
      </c>
      <c r="J50" s="4" t="s">
        <v>274</v>
      </c>
      <c r="K50" s="4" t="s">
        <v>311</v>
      </c>
      <c r="N50" s="4" t="s">
        <v>16</v>
      </c>
    </row>
    <row r="51">
      <c r="A51" s="4" t="s">
        <v>333</v>
      </c>
      <c r="B51" s="4" t="s">
        <v>255</v>
      </c>
      <c r="C51" s="4" t="s">
        <v>36</v>
      </c>
      <c r="D51" s="4" t="s">
        <v>160</v>
      </c>
      <c r="E51" s="4" t="s">
        <v>256</v>
      </c>
      <c r="F51" s="4" t="s">
        <v>335</v>
      </c>
      <c r="H51" s="4" t="s">
        <v>296</v>
      </c>
      <c r="I51" s="4" t="s">
        <v>258</v>
      </c>
      <c r="J51" s="4" t="s">
        <v>274</v>
      </c>
      <c r="K51" s="4" t="s">
        <v>311</v>
      </c>
      <c r="N51" s="4" t="s">
        <v>16</v>
      </c>
    </row>
    <row r="52">
      <c r="A52" s="4" t="s">
        <v>333</v>
      </c>
      <c r="B52" s="4" t="s">
        <v>261</v>
      </c>
      <c r="C52" s="4" t="s">
        <v>36</v>
      </c>
      <c r="D52" s="4" t="s">
        <v>160</v>
      </c>
      <c r="E52" s="4" t="s">
        <v>256</v>
      </c>
      <c r="F52" s="4" t="s">
        <v>335</v>
      </c>
      <c r="H52" s="4" t="s">
        <v>296</v>
      </c>
      <c r="I52" s="4" t="s">
        <v>258</v>
      </c>
      <c r="J52" s="4" t="s">
        <v>274</v>
      </c>
      <c r="K52" s="4" t="s">
        <v>311</v>
      </c>
      <c r="N52" s="4" t="s">
        <v>16</v>
      </c>
    </row>
    <row r="53">
      <c r="A53" s="4" t="s">
        <v>333</v>
      </c>
      <c r="B53" s="4" t="s">
        <v>269</v>
      </c>
      <c r="C53" s="4" t="s">
        <v>16</v>
      </c>
      <c r="D53" s="4" t="s">
        <v>160</v>
      </c>
      <c r="E53" s="4" t="s">
        <v>256</v>
      </c>
      <c r="F53" s="4" t="s">
        <v>335</v>
      </c>
      <c r="H53" s="4" t="s">
        <v>296</v>
      </c>
      <c r="I53" s="4" t="s">
        <v>258</v>
      </c>
      <c r="J53" s="4" t="s">
        <v>274</v>
      </c>
      <c r="K53" s="4" t="s">
        <v>311</v>
      </c>
      <c r="N53" s="4" t="s">
        <v>16</v>
      </c>
    </row>
    <row r="54">
      <c r="A54" s="4" t="s">
        <v>333</v>
      </c>
      <c r="B54" s="4" t="s">
        <v>268</v>
      </c>
      <c r="C54" s="4" t="s">
        <v>16</v>
      </c>
      <c r="D54" s="4" t="s">
        <v>160</v>
      </c>
      <c r="E54" s="4" t="s">
        <v>256</v>
      </c>
      <c r="F54" s="4" t="s">
        <v>335</v>
      </c>
      <c r="H54" s="4" t="s">
        <v>296</v>
      </c>
      <c r="I54" s="4" t="s">
        <v>258</v>
      </c>
      <c r="J54" s="4" t="s">
        <v>274</v>
      </c>
      <c r="K54" s="4" t="s">
        <v>311</v>
      </c>
      <c r="N54" s="4" t="s">
        <v>16</v>
      </c>
    </row>
  </sheetData>
  <drawing r:id="rId1"/>
</worksheet>
</file>